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 TILL DATE\Desktop\"/>
    </mc:Choice>
  </mc:AlternateContent>
  <bookViews>
    <workbookView xWindow="0" yWindow="0" windowWidth="23040" windowHeight="8616" activeTab="4"/>
  </bookViews>
  <sheets>
    <sheet name="Income Statement " sheetId="1" r:id="rId1"/>
    <sheet name="Balance sheet " sheetId="2" r:id="rId2"/>
    <sheet name="Cash flow statement " sheetId="3" r:id="rId3"/>
    <sheet name="Notes-BS" sheetId="4" r:id="rId4"/>
    <sheet name="Notes-IS 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7" i="3" l="1"/>
  <c r="C47" i="3"/>
  <c r="E31" i="2" l="1"/>
  <c r="E32" i="2" s="1"/>
  <c r="D31" i="2"/>
  <c r="D32" i="2" s="1"/>
  <c r="D20" i="2"/>
</calcChain>
</file>

<file path=xl/sharedStrings.xml><?xml version="1.0" encoding="utf-8"?>
<sst xmlns="http://schemas.openxmlformats.org/spreadsheetml/2006/main" count="862" uniqueCount="516">
  <si>
    <t>SL.NO</t>
  </si>
  <si>
    <t>PARTICULARS</t>
  </si>
  <si>
    <t>NOTE NO</t>
  </si>
  <si>
    <t>Revenue from operations</t>
  </si>
  <si>
    <t>Other income</t>
  </si>
  <si>
    <t>Total income (I + II)</t>
  </si>
  <si>
    <t>EXPENSES</t>
  </si>
  <si>
    <t>a) Cost of material consumed</t>
  </si>
  <si>
    <t>b) Cost of stores &amp; spares consumed</t>
  </si>
  <si>
    <t>c) Consumption of stock in trade</t>
  </si>
  <si>
    <t>d) Changes in inventories of finished goods, work in progress &amp; scrap</t>
  </si>
  <si>
    <t>e) Employee benefits expense</t>
  </si>
  <si>
    <t>f) Finance costs</t>
  </si>
  <si>
    <t>g) Depreciation and amortisation expense</t>
  </si>
  <si>
    <t>h) Other expenses</t>
  </si>
  <si>
    <t>TOTAL EXPENSES [a to h]</t>
  </si>
  <si>
    <t>Profit before exceptional items &amp; tax (III - IV)</t>
  </si>
  <si>
    <t>Exceptional items</t>
  </si>
  <si>
    <t>Profit before tax (V - VI)</t>
  </si>
  <si>
    <t>Tax expense</t>
  </si>
  <si>
    <t>Total provision for taxation</t>
  </si>
  <si>
    <t>Profit for the year (VII - VIII)</t>
  </si>
  <si>
    <t>Other comprehensive income/(loss)</t>
  </si>
  <si>
    <t>Items that will not be reclassified subsequently to profit or loss</t>
  </si>
  <si>
    <t>Total other comprehensive income/(loss) (net of tax)</t>
  </si>
  <si>
    <t>Total comprehensive income for the year (IX + X) [comprising profit and other comprehensive income for the year]</t>
  </si>
  <si>
    <t>Earnings per equity share (face value of INR 1/- each):</t>
  </si>
  <si>
    <t>(1) Basic [in INR]</t>
  </si>
  <si>
    <t>(2) Diluted [in INR]</t>
  </si>
  <si>
    <r>
      <rPr>
        <sz val="11"/>
        <color theme="1"/>
        <rFont val="Calibri"/>
        <family val="2"/>
      </rPr>
      <t xml:space="preserve">(-) </t>
    </r>
    <r>
      <rPr>
        <sz val="11"/>
        <color theme="1"/>
        <rFont val="Calibri"/>
        <family val="2"/>
        <scheme val="minor"/>
      </rPr>
      <t>Current tax</t>
    </r>
  </si>
  <si>
    <t>(-)Earlier years tax</t>
  </si>
  <si>
    <t>(-)Deferred tax</t>
  </si>
  <si>
    <t>(-) Remeasurement of the net defined benefit liability/asset</t>
  </si>
  <si>
    <t>(-) Equity instruments through other comprehensive income</t>
  </si>
  <si>
    <t>(-) Income tax relating to these items</t>
  </si>
  <si>
    <t>-</t>
  </si>
  <si>
    <t>30(i)</t>
  </si>
  <si>
    <t>BHARAT ELECTRONICS</t>
  </si>
  <si>
    <t>Balance sheet as on 31st March 2023</t>
  </si>
  <si>
    <t>Sl.no</t>
  </si>
  <si>
    <t>Particulars</t>
  </si>
  <si>
    <t>Note No.</t>
  </si>
  <si>
    <t>As at 31st march 2023</t>
  </si>
  <si>
    <t>As at 31st march 2022</t>
  </si>
  <si>
    <t>ASSETS</t>
  </si>
  <si>
    <t>1)</t>
  </si>
  <si>
    <t xml:space="preserve">Non-current assets </t>
  </si>
  <si>
    <t>(a)  Property, plant and equipment</t>
  </si>
  <si>
    <t>(b)  Capital work-in-progress</t>
  </si>
  <si>
    <t>(c)  Investment property</t>
  </si>
  <si>
    <t>(d)  Other intangible assets</t>
  </si>
  <si>
    <t>(e)  Intangible assets under development</t>
  </si>
  <si>
    <t>(f)  Financial assets</t>
  </si>
  <si>
    <t>(i) Investments</t>
  </si>
  <si>
    <t xml:space="preserve">(ii) Trade receivables </t>
  </si>
  <si>
    <t>(iii) Loans</t>
  </si>
  <si>
    <t>(iv) Other financial assets</t>
  </si>
  <si>
    <t>(h)  Deferred tax assets (net)</t>
  </si>
  <si>
    <t>(i)   Inventories</t>
  </si>
  <si>
    <t>(j)  Other non-current assets</t>
  </si>
  <si>
    <t>2)</t>
  </si>
  <si>
    <t>Current assets</t>
  </si>
  <si>
    <t>(a) Inventories</t>
  </si>
  <si>
    <t>(b) Financial assets</t>
  </si>
  <si>
    <t>(i) Trade receivables</t>
  </si>
  <si>
    <t>(ii) Cash &amp; cash equivalents</t>
  </si>
  <si>
    <t>(iii) Bank balances [other than (ii) above]</t>
  </si>
  <si>
    <t>(iv)Loans</t>
  </si>
  <si>
    <t>(v) Other financial assets</t>
  </si>
  <si>
    <t>(c) Current tax assets (net)</t>
  </si>
  <si>
    <t>(d)  Other current assets</t>
  </si>
  <si>
    <t>TOTAL ASSETS</t>
  </si>
  <si>
    <t>3)</t>
  </si>
  <si>
    <t>EQUITY &amp; LIABILITIES</t>
  </si>
  <si>
    <t xml:space="preserve">EQUITY </t>
  </si>
  <si>
    <t xml:space="preserve">(a) Equity Share capital </t>
  </si>
  <si>
    <t>(b) Other equity</t>
  </si>
  <si>
    <t>LIABILITIES</t>
  </si>
  <si>
    <t>(1)</t>
  </si>
  <si>
    <t xml:space="preserve">Non-current liabilities </t>
  </si>
  <si>
    <t>(a) Deferred income</t>
  </si>
  <si>
    <t>(b) Financial liabilities</t>
  </si>
  <si>
    <t xml:space="preserve">(i) Borrowings </t>
  </si>
  <si>
    <t>(ia) Lease liabilities</t>
  </si>
  <si>
    <t xml:space="preserve">ii) Trade payables </t>
  </si>
  <si>
    <t>– total outstanding dues of micro enterprises &amp; small enterprises; and</t>
  </si>
  <si>
    <t>– total outstanding dues of creditors other than micro enterprises &amp; small 
enterprises</t>
  </si>
  <si>
    <t xml:space="preserve">(iii) Other financial liabilities   </t>
  </si>
  <si>
    <t xml:space="preserve">(c) Provisions        </t>
  </si>
  <si>
    <t xml:space="preserve">(d) Other non-current liabilities      </t>
  </si>
  <si>
    <t xml:space="preserve">     </t>
  </si>
  <si>
    <t>(2)</t>
  </si>
  <si>
    <t xml:space="preserve"> Current liabilities          </t>
  </si>
  <si>
    <t xml:space="preserve">(b) Financial liabilities          </t>
  </si>
  <si>
    <t xml:space="preserve">(i) Borrowings         </t>
  </si>
  <si>
    <t xml:space="preserve">(ia) Lease liabilities        </t>
  </si>
  <si>
    <t xml:space="preserve">(ii) Trade payables      </t>
  </si>
  <si>
    <t xml:space="preserve">– total outstanding dues of micro enterprises &amp; small enterprises; and </t>
  </si>
  <si>
    <t xml:space="preserve">– total outstanding dues of creditors other than micro enterprises &amp; small 
enterprises    </t>
  </si>
  <si>
    <t xml:space="preserve">(c) Other current liabilities     </t>
  </si>
  <si>
    <t xml:space="preserve">(d) Provisions     </t>
  </si>
  <si>
    <t xml:space="preserve">(e) Current tax liabilities (net)    </t>
  </si>
  <si>
    <t xml:space="preserve">         </t>
  </si>
  <si>
    <t xml:space="preserve">TOTAL EQUITY AND LIABILITIES    </t>
  </si>
  <si>
    <t xml:space="preserve">CASH    FLOW    STATEMENT </t>
  </si>
  <si>
    <t>31-03-2023</t>
  </si>
  <si>
    <t>31-03-2022</t>
  </si>
  <si>
    <t>A. Cash flow from operating activities</t>
  </si>
  <si>
    <t xml:space="preserve">amt </t>
  </si>
  <si>
    <t>profit before exceptional items and tax</t>
  </si>
  <si>
    <t>Adjustments for:</t>
  </si>
  <si>
    <t xml:space="preserve">Depriciation and amortisation expense </t>
  </si>
  <si>
    <t xml:space="preserve">provison for intangible assets under development </t>
  </si>
  <si>
    <t>intangible assets under development charged off</t>
  </si>
  <si>
    <t xml:space="preserve">provision others - contract costs </t>
  </si>
  <si>
    <t xml:space="preserve">corporate social responsibility </t>
  </si>
  <si>
    <t xml:space="preserve">transfer from government grants </t>
  </si>
  <si>
    <t xml:space="preserve">interest income </t>
  </si>
  <si>
    <t xml:space="preserve">dividend income </t>
  </si>
  <si>
    <t>interest on lease liability</t>
  </si>
  <si>
    <t xml:space="preserve">finance costs </t>
  </si>
  <si>
    <t xml:space="preserve">profit on sale of property, plant &amp; equipment </t>
  </si>
  <si>
    <t>Operating Profit Before Working Capital Changes</t>
  </si>
  <si>
    <t>Increase / (Decrease) due to:</t>
  </si>
  <si>
    <t>Trade receivables</t>
  </si>
  <si>
    <t>Loans</t>
  </si>
  <si>
    <t>Other financial assets</t>
  </si>
  <si>
    <t>Other assets</t>
  </si>
  <si>
    <t>Inventories</t>
  </si>
  <si>
    <t>Trade payables</t>
  </si>
  <si>
    <t>Other financial liabilities</t>
  </si>
  <si>
    <t>Other liabilities</t>
  </si>
  <si>
    <t>Provisions</t>
  </si>
  <si>
    <t>Current tax assets</t>
  </si>
  <si>
    <t>Cash Generated from Operations</t>
  </si>
  <si>
    <t>Income taxes paid (net)</t>
  </si>
  <si>
    <t>Cash Flow Before Exceptional Items</t>
  </si>
  <si>
    <t>.-</t>
  </si>
  <si>
    <t>Net Cash from / (used in) Operating Activities</t>
  </si>
  <si>
    <t xml:space="preserve">CASH FLOW FROM FINANCING ACTIVITIES </t>
  </si>
  <si>
    <t xml:space="preserve">Net Cash Flow from/(used in) Activities </t>
  </si>
  <si>
    <t xml:space="preserve">Net Increase/decrease in Cash and Cash Equivalents(A+B+C) </t>
  </si>
  <si>
    <t>Corporate social responsibility (CSR) expenditure</t>
  </si>
  <si>
    <t>Dividend paid</t>
  </si>
  <si>
    <t>Repayment of lease liabilities</t>
  </si>
  <si>
    <t>Interest on lease liability</t>
  </si>
  <si>
    <t>Finance cost</t>
  </si>
  <si>
    <t>CASH FLOW FROM INVESTING ACTIVITIES:</t>
  </si>
  <si>
    <t>Purchase of property, plant &amp; equipment and other intangible assets</t>
  </si>
  <si>
    <t>Receipt of grant</t>
  </si>
  <si>
    <t>Proceeds from sale of property, plant &amp; equipment</t>
  </si>
  <si>
    <t>Increase / (Decrease) from term deposits &amp; other bank balances</t>
  </si>
  <si>
    <t>2,11,355</t>
  </si>
  <si>
    <t>Investments in others</t>
  </si>
  <si>
    <t>Interest received</t>
  </si>
  <si>
    <t>Dividend received</t>
  </si>
  <si>
    <t>Net Cash from / (used in) Investing Activities</t>
  </si>
  <si>
    <t>2,78,204</t>
  </si>
  <si>
    <t>Note: 1</t>
  </si>
  <si>
    <t>Property, plant and equipment</t>
  </si>
  <si>
    <t>CY</t>
  </si>
  <si>
    <t>PY</t>
  </si>
  <si>
    <t>As at 31 March 2023</t>
  </si>
  <si>
    <t>As at 31 March 2022</t>
  </si>
  <si>
    <t>Owned Asset</t>
  </si>
  <si>
    <t>Freehold land</t>
  </si>
  <si>
    <t>Roads and culverts</t>
  </si>
  <si>
    <t>Buildings</t>
  </si>
  <si>
    <t>Installations</t>
  </si>
  <si>
    <t>plant and machinery</t>
  </si>
  <si>
    <t>Electronic equipment</t>
  </si>
  <si>
    <t>Equipments for R&amp;D lab</t>
  </si>
  <si>
    <t>Vehicles</t>
  </si>
  <si>
    <t>Office equipments</t>
  </si>
  <si>
    <t>Fumiture, fixtures &amp; equipments</t>
  </si>
  <si>
    <t>Assets acquired for sponsored research</t>
  </si>
  <si>
    <t>Right of Use Asset</t>
  </si>
  <si>
    <t>Lease of other assets</t>
  </si>
  <si>
    <t>Leasehold land</t>
  </si>
  <si>
    <t>Total</t>
  </si>
  <si>
    <t>Note: 2</t>
  </si>
  <si>
    <t>Capital work-in-progress</t>
  </si>
  <si>
    <t>Civil Construction</t>
  </si>
  <si>
    <t>Plant &amp; Machinery</t>
  </si>
  <si>
    <t>Others</t>
  </si>
  <si>
    <t>Capital Items in Transit</t>
  </si>
  <si>
    <t>Less: Provision for impairment</t>
  </si>
  <si>
    <t>Note: 3</t>
  </si>
  <si>
    <t>Investment property</t>
  </si>
  <si>
    <t>Freehold Land*</t>
  </si>
  <si>
    <t>Note: 4</t>
  </si>
  <si>
    <t>Other intangible assets</t>
  </si>
  <si>
    <t>Software licenses/implementation enterprise resource planning (ERP)</t>
  </si>
  <si>
    <t>Others (development cost)*</t>
  </si>
  <si>
    <t>Note 5 Intangible Assets under developement</t>
  </si>
  <si>
    <t>Internally developed</t>
  </si>
  <si>
    <t>Note 6 Investments</t>
  </si>
  <si>
    <t>Fair Valuation of loan given to Subsidiary</t>
  </si>
  <si>
    <t>BEL Optronic Devices Ltd., Pune</t>
  </si>
  <si>
    <t>(I) Investment in Equity Instruments (Unquoted)</t>
  </si>
  <si>
    <t>(a) Subsdiary (at Cost)</t>
  </si>
  <si>
    <t>BEL Optronic Devices Ltd., Pune 8,45,06,970 (8,45,06,970) equity shares of INR 10 each fully paid</t>
  </si>
  <si>
    <t>BEL Thales Systems Limited, Bengaluru 42,63,538 (42,63,538) equity shares of INR 100 each fully paid</t>
  </si>
  <si>
    <t>(b) Associate (at Cost)</t>
  </si>
  <si>
    <t>GE-BE Private Ltd., Bengaluru 26,00,000 (26,00,000) equity shares of INR 10 each fully paid</t>
  </si>
  <si>
    <t>(c) Others (at FVOCI) (refer note v below)</t>
  </si>
  <si>
    <t>Mana Effluent Treatment Plant Ltd., Hyderabad 500 (500) equity shares of INR 1,000 each fully paid</t>
  </si>
  <si>
    <t>Defence Innovation Organisation, Bengaluru 50 (50) equity shares of INR 1,000 each fully paid</t>
  </si>
  <si>
    <t>(II) Other investments (Unquoted)</t>
  </si>
  <si>
    <t>(a) Investment in Co-operative Societies (at Cost)*</t>
  </si>
  <si>
    <t>(b) Others (at FVTPL)</t>
  </si>
  <si>
    <t>Life Insurance Corporation Of India – (Refer Note ii)</t>
  </si>
  <si>
    <t>Note 7 Trade Recievables</t>
  </si>
  <si>
    <t>Non current</t>
  </si>
  <si>
    <t>Unsecured, considered doubtful</t>
  </si>
  <si>
    <t>Trade Receivables</t>
  </si>
  <si>
    <t>Less: Provisions</t>
  </si>
  <si>
    <t>Sub Total (A)</t>
  </si>
  <si>
    <t>Current</t>
  </si>
  <si>
    <t>Secured, considered good</t>
  </si>
  <si>
    <t>Unsecured, considered good</t>
  </si>
  <si>
    <t>Sub Total (B)</t>
  </si>
  <si>
    <t>Total (A+B)</t>
  </si>
  <si>
    <t>Note 8 Loans</t>
  </si>
  <si>
    <t>Non Current</t>
  </si>
  <si>
    <t>Unsecured, Considered Good</t>
  </si>
  <si>
    <t>Loans to employees</t>
  </si>
  <si>
    <t>Loans to others</t>
  </si>
  <si>
    <t>Less: Provisions*</t>
  </si>
  <si>
    <t>Loans to related parties**</t>
  </si>
  <si>
    <t>Note:9 Other financial assets</t>
  </si>
  <si>
    <t>Security deposits</t>
  </si>
  <si>
    <t>Bank deposits with more than 12 months maturity</t>
  </si>
  <si>
    <t>Advance to others</t>
  </si>
  <si>
    <t>Receivables other than trade receivables</t>
  </si>
  <si>
    <t>Advance to employees</t>
  </si>
  <si>
    <t>Interest accrued but not due on term deposits</t>
  </si>
  <si>
    <t>Securities application money</t>
  </si>
  <si>
    <t>Note:10 Deferred tax assets (net)</t>
  </si>
  <si>
    <t>Deferred tax assets</t>
  </si>
  <si>
    <t>Deferred tax liabilities</t>
  </si>
  <si>
    <t>Note 11 - Inventories</t>
  </si>
  <si>
    <t>Raw Materials &amp; Components</t>
  </si>
  <si>
    <t>Add: Raw Materials &amp; Components in Transit</t>
  </si>
  <si>
    <t>Stock in Trade</t>
  </si>
  <si>
    <t>Stores &amp; Spares</t>
  </si>
  <si>
    <t>Loose Tools</t>
  </si>
  <si>
    <t>Work in Progress</t>
  </si>
  <si>
    <t>Finished Goods</t>
  </si>
  <si>
    <t>Add: Finished Goods in Transit</t>
  </si>
  <si>
    <t>Add: Stock in Trade in Transit</t>
  </si>
  <si>
    <t>Add: Stores &amp; Spares in transit</t>
  </si>
  <si>
    <t>Disposal Scrap</t>
  </si>
  <si>
    <t>Note 12 - Other assets</t>
  </si>
  <si>
    <t>Capital advances</t>
  </si>
  <si>
    <t>Advances other than capital advances</t>
  </si>
  <si>
    <t>Advances for purchase</t>
  </si>
  <si>
    <t>Contract asset</t>
  </si>
  <si>
    <t>Balances with customs, port trust and other government authorities</t>
  </si>
  <si>
    <t>Prepaid expenses</t>
  </si>
  <si>
    <t>Claims receivable purchases</t>
  </si>
  <si>
    <t>Contract costs</t>
  </si>
  <si>
    <t>Others - assets</t>
  </si>
  <si>
    <t>Advances to employees</t>
  </si>
  <si>
    <t>Prepaid taxes</t>
  </si>
  <si>
    <t>Contact costs</t>
  </si>
  <si>
    <t>Note 13 - Cash &amp; cash equivalents</t>
  </si>
  <si>
    <t>Balance with banks</t>
  </si>
  <si>
    <t>Cash on hand</t>
  </si>
  <si>
    <t>Term deposits</t>
  </si>
  <si>
    <t>Note 14 - Bank balances [other than (ii) above]</t>
  </si>
  <si>
    <t>Term deposits *</t>
  </si>
  <si>
    <t>Unpaid dividend account **</t>
  </si>
  <si>
    <t>Note 15 - Current tax assets / liability</t>
  </si>
  <si>
    <t>Current tax assets (net)</t>
  </si>
  <si>
    <t>Advance payment of income tax</t>
  </si>
  <si>
    <t>Current tax liability (net)</t>
  </si>
  <si>
    <t>Provision for taxation</t>
  </si>
  <si>
    <t>Note 16</t>
  </si>
  <si>
    <t>Equity share capital</t>
  </si>
  <si>
    <t>Authorised capital</t>
  </si>
  <si>
    <t>7,50,00,00,000 (2,50,00,00,000) Equity Shares of INR 1 (INR 1) each</t>
  </si>
  <si>
    <t>Issued, subscribed &amp; fully paid-up capita</t>
  </si>
  <si>
    <t>7,30,97,78,829 (2,43,65,92,943) Equity Shares of INR 1 (INR 1) each</t>
  </si>
  <si>
    <t>Note 17 - Deferred income</t>
  </si>
  <si>
    <t>A) Non Current</t>
  </si>
  <si>
    <t>Government grants - deferred</t>
  </si>
  <si>
    <t>B) Current</t>
  </si>
  <si>
    <t>Government grants - deferred 336 339</t>
  </si>
  <si>
    <t>Note 18 - Borrowings</t>
  </si>
  <si>
    <t>Secured</t>
  </si>
  <si>
    <t>Term Loans from banks</t>
  </si>
  <si>
    <t>Note 19 - Trade payables</t>
  </si>
  <si>
    <t>Dues to micro &amp; small enterprises</t>
  </si>
  <si>
    <t>Note 20 - Other financial liabilities</t>
  </si>
  <si>
    <t>Interest accrued and due on trade payables*</t>
  </si>
  <si>
    <t>Other trade Payables</t>
  </si>
  <si>
    <t>Unpaid matured deposits</t>
  </si>
  <si>
    <t>Unpaid dividend</t>
  </si>
  <si>
    <t>Non trade payables dues to micro and small enterprises</t>
  </si>
  <si>
    <t>Outstanding expenses</t>
  </si>
  <si>
    <t>NOTE 21 - PROVISIONS</t>
  </si>
  <si>
    <t>Employee benefits</t>
  </si>
  <si>
    <t>Long - term compensated absences</t>
  </si>
  <si>
    <t>BEL retired employees' contributory health scheme (BERECHS)</t>
  </si>
  <si>
    <t>Provident fund Interest obligation</t>
  </si>
  <si>
    <t>Provision for onerous contracts</t>
  </si>
  <si>
    <t>Provision for performance warranty</t>
  </si>
  <si>
    <t>Provision for Site restoration obligation</t>
  </si>
  <si>
    <t>Gratuity*</t>
  </si>
  <si>
    <t>NOTE 22 - OTHER LIABILITIES</t>
  </si>
  <si>
    <t>- Others</t>
  </si>
  <si>
    <t>Contract liability</t>
  </si>
  <si>
    <t>Deferred revenue</t>
  </si>
  <si>
    <t>Customer advance received</t>
  </si>
  <si>
    <t>Statutory liabilities</t>
  </si>
  <si>
    <t>Note 23 -Revenue from operations</t>
  </si>
  <si>
    <t>For the year ended
31 March 2023</t>
  </si>
  <si>
    <t>For the year ended
31 March 2022</t>
  </si>
  <si>
    <t>Sale of products</t>
  </si>
  <si>
    <t>Income from services</t>
  </si>
  <si>
    <t>Other operating revenue</t>
  </si>
  <si>
    <t>Sale of scrap</t>
  </si>
  <si>
    <t>Transport receipts</t>
  </si>
  <si>
    <t>Rent receipts</t>
  </si>
  <si>
    <t>Canteen receipts</t>
  </si>
  <si>
    <t>Electricity charges collected</t>
  </si>
  <si>
    <t>Water charges collected</t>
  </si>
  <si>
    <t>Provisions withdrawn</t>
  </si>
  <si>
    <t>- Doubtful debts, liquidated damages</t>
  </si>
  <si>
    <t>- Inventory</t>
  </si>
  <si>
    <t>- Loans &amp; advances</t>
  </si>
  <si>
    <t>Government Grants including duty drawback</t>
  </si>
  <si>
    <t>Customer grants</t>
  </si>
  <si>
    <t>Miscellaneous</t>
  </si>
  <si>
    <t>(i) Disaggregation of revenue recongnised against contracts with customers(2022-23)</t>
  </si>
  <si>
    <t>Domestic</t>
  </si>
  <si>
    <t>Exports</t>
  </si>
  <si>
    <t>Government of India</t>
  </si>
  <si>
    <t>Defence</t>
  </si>
  <si>
    <t>Non-Defence</t>
  </si>
  <si>
    <t>Sale of Product</t>
  </si>
  <si>
    <t>Income from Services</t>
  </si>
  <si>
    <t xml:space="preserve"> Disaggregation of revenue recongnised against contracts with customers(2021-22)</t>
  </si>
  <si>
    <t>(ii) Reconciliation of revenue recognised in statement of profit and loss with contract Price</t>
  </si>
  <si>
    <t>2022-23</t>
  </si>
  <si>
    <t>2021-22</t>
  </si>
  <si>
    <t>Revenue as per Statement of Profit and Loss</t>
  </si>
  <si>
    <t>Sale of Products</t>
  </si>
  <si>
    <t>Total (a)</t>
  </si>
  <si>
    <t>Add / (Less) adjustment to contract price</t>
  </si>
  <si>
    <t>Foreign Exchange variation claim</t>
  </si>
  <si>
    <t>Price revision</t>
  </si>
  <si>
    <t>Discount and rebate offered</t>
  </si>
  <si>
    <t>Total adjustment (b)</t>
  </si>
  <si>
    <t>Contract price (a + b)</t>
  </si>
  <si>
    <t xml:space="preserve">Note 24- Other income </t>
  </si>
  <si>
    <t>For the</t>
  </si>
  <si>
    <t>year ended</t>
  </si>
  <si>
    <t>Interest income from staff/IT refund/others*</t>
  </si>
  <si>
    <t>Income from long term investments (Dividend)**</t>
  </si>
  <si>
    <t>Interest income on term deposits</t>
  </si>
  <si>
    <t>Profit on sale of PPE</t>
  </si>
  <si>
    <t>Rental income - Investment property</t>
  </si>
  <si>
    <t>Foreign exchange gain/loss</t>
  </si>
  <si>
    <t>Gain / (loss) on mutual funds</t>
  </si>
  <si>
    <t>Miscellaneous (Net of expenses)</t>
  </si>
  <si>
    <t>NOTE 25</t>
  </si>
  <si>
    <t>For the year ended 31 March 2023</t>
  </si>
  <si>
    <t>For the year ended 31 March 2022</t>
  </si>
  <si>
    <t>Work-in-progress</t>
  </si>
  <si>
    <t>Closing inventory</t>
  </si>
  <si>
    <t>Opening inventory</t>
  </si>
  <si>
    <t>Change</t>
  </si>
  <si>
    <t>Finished goods</t>
  </si>
  <si>
    <t>Scrap</t>
  </si>
  <si>
    <t>Total Change</t>
  </si>
  <si>
    <t>NOTE 26</t>
  </si>
  <si>
    <t>Salaries, Wages and Bonus/Ex-gratia</t>
  </si>
  <si>
    <t>Retirement benefit expenses</t>
  </si>
  <si>
    <t>Gratuity</t>
  </si>
  <si>
    <t>Contribution to Provident and Pension Funds</t>
  </si>
  <si>
    <t>Management Contribution to BEL Superannuation (Pension) Scheme</t>
  </si>
  <si>
    <t>Provision for BEL Retired Employees Contributory Health Scheme</t>
  </si>
  <si>
    <t>Total Retirement benefit expenses</t>
  </si>
  <si>
    <t>Welfare Expenses</t>
  </si>
  <si>
    <t>Total Employee benefits expense</t>
  </si>
  <si>
    <t>Note 27</t>
  </si>
  <si>
    <t>Finance Cost</t>
  </si>
  <si>
    <t>For the year ended 31 march 2023</t>
  </si>
  <si>
    <t>For the year ended 21 March 2022</t>
  </si>
  <si>
    <t>Interest Expences</t>
  </si>
  <si>
    <t> </t>
  </si>
  <si>
    <t>Interest on dues to Micro and Small enterprises</t>
  </si>
  <si>
    <t>Interest on Income tax</t>
  </si>
  <si>
    <t>Interst on expence on leese liablity</t>
  </si>
  <si>
    <t>Other interest expence</t>
  </si>
  <si>
    <t>Other borrowing cost</t>
  </si>
  <si>
    <t>Loan Processing charges</t>
  </si>
  <si>
    <t>Note 28</t>
  </si>
  <si>
    <t>Depreciation and Amortisation expences</t>
  </si>
  <si>
    <t>For the year ended 3 March 2023</t>
  </si>
  <si>
    <t>For the year Ended 31 March 2022</t>
  </si>
  <si>
    <t>Depreciation/amortisation on property, plant &amp; equipment</t>
  </si>
  <si>
    <t>Depreciation on Investment property</t>
  </si>
  <si>
    <t>Amortisation on other intangible assets</t>
  </si>
  <si>
    <t>Depreciation on right of use assets</t>
  </si>
  <si>
    <t>NOTE -29</t>
  </si>
  <si>
    <t xml:space="preserve"> Other expenses</t>
  </si>
  <si>
    <t>Power and fuel*</t>
  </si>
  <si>
    <t>Water charges</t>
  </si>
  <si>
    <t>Royalty &amp; technical assistance</t>
  </si>
  <si>
    <t>Rent</t>
  </si>
  <si>
    <t>Rates &amp; taxes</t>
  </si>
  <si>
    <t>Insurance</t>
  </si>
  <si>
    <t>Auditors remuneration</t>
  </si>
  <si>
    <t>Audit Fees</t>
  </si>
  <si>
    <t>Tax audit fees</t>
  </si>
  <si>
    <t>Other services (Certification fees)</t>
  </si>
  <si>
    <t>Reimbursement of expenses</t>
  </si>
  <si>
    <t>Cost audit fee</t>
  </si>
  <si>
    <t>Repairs &amp; maintenance</t>
  </si>
  <si>
    <t>Plant &amp; machinery</t>
  </si>
  <si>
    <t>Bank charges</t>
  </si>
  <si>
    <t>Printing &amp; stationery</t>
  </si>
  <si>
    <t>Advertisement &amp; publicity</t>
  </si>
  <si>
    <t>Travelling expenses</t>
  </si>
  <si>
    <t>Hiring charges for van/taxis</t>
  </si>
  <si>
    <t>Packing &amp; forwarding</t>
  </si>
  <si>
    <t>Bad debts &amp; advances written off</t>
  </si>
  <si>
    <t>Less: charged to provisions</t>
  </si>
  <si>
    <t>Provision for obsolete / redundant materials</t>
  </si>
  <si>
    <t>Provision for doubtful debts, LD, customers' claims &amp; disallowances</t>
  </si>
  <si>
    <t>Provision for doubtful advances, claims</t>
  </si>
  <si>
    <t>Provision for performance warranty (net)**</t>
  </si>
  <si>
    <t>Write off of raw materials, stores &amp; components due to obsolescence &amp; redundancy</t>
  </si>
  <si>
    <t>Provision others</t>
  </si>
  <si>
    <t>Provision for intangible assets under development</t>
  </si>
  <si>
    <t>Write off of intangible assets under development</t>
  </si>
  <si>
    <t>Corporate social responsibility</t>
  </si>
  <si>
    <t>Other Misc. Direct Expenditure</t>
  </si>
  <si>
    <t>After Sales Service</t>
  </si>
  <si>
    <t>Telephones</t>
  </si>
  <si>
    <t>Expenditure on Seminars &amp; Courses</t>
  </si>
  <si>
    <t>Other Selling Expenses</t>
  </si>
  <si>
    <t>Less: Expenditure allocated to capital jobs</t>
  </si>
  <si>
    <t>NOTE-30</t>
  </si>
  <si>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Earnings per equity Share</t>
    </r>
  </si>
  <si>
    <t>Basic earnings per share [INR]</t>
  </si>
  <si>
    <t>Diluted earnings per share [INR]</t>
  </si>
  <si>
    <t>Weighted average number of equity shares used in computing basic and diluted earnings per share</t>
  </si>
  <si>
    <t>7,30,97,78,829</t>
  </si>
  <si>
    <t>Earnings Per Share</t>
  </si>
  <si>
    <t>Contractual Commitments</t>
  </si>
  <si>
    <t>A. Estimated amount of contracts remaining to be executed on capital account and not provided on 31 March</t>
  </si>
  <si>
    <t>Property, plant &amp; equipment</t>
  </si>
  <si>
    <t>B. Contractual commitment for repair and maintenance or enhancement of investment property</t>
  </si>
  <si>
    <t>C. Other commitments i.e., Non-cancellable contractual commitments (i.e., cancellation of which will result in a penalty disproportionate to the benefits involved) as on 31 March</t>
  </si>
  <si>
    <t>Research &amp; Development Expenditure</t>
  </si>
  <si>
    <t>For the year Ended 31 March 2023</t>
  </si>
  <si>
    <t>Materials</t>
  </si>
  <si>
    <t>Employees Remuneration &amp; Benefits</t>
  </si>
  <si>
    <t>Depreciation</t>
  </si>
  <si>
    <t>Gross Expenditure</t>
  </si>
  <si>
    <t>1,07,564</t>
  </si>
  <si>
    <t>1,06,938</t>
  </si>
  <si>
    <t>Contingent Liabilities</t>
  </si>
  <si>
    <t>Claims not acknowledged as debts</t>
  </si>
  <si>
    <t>1,02,532</t>
  </si>
  <si>
    <t>1,00,509</t>
  </si>
  <si>
    <t>Outstanding Letters of Credit</t>
  </si>
  <si>
    <t>Provisional Liquidated Damages up to 31 March on unexecuted customer orders where the delivery date has expired</t>
  </si>
  <si>
    <t>NOTE-31</t>
  </si>
  <si>
    <t>Subsidiaries &amp; Associates</t>
  </si>
  <si>
    <t>Name of Entity</t>
  </si>
  <si>
    <t>Place of Business</t>
  </si>
  <si>
    <t>Ownership Interest by BEL</t>
  </si>
  <si>
    <t>Ownership Interest by Non-Controlling Interests</t>
  </si>
  <si>
    <t>Principal Activities</t>
  </si>
  <si>
    <t>BEL Optronic Devices Ltd. (BELOP) - Subsidiary</t>
  </si>
  <si>
    <t>India</t>
  </si>
  <si>
    <t>Manufacture and Supply of Image Intensifier Tubes</t>
  </si>
  <si>
    <t>BEL - THALES Systems Ltd. - Subsidiary</t>
  </si>
  <si>
    <t>Design, Develop, Supply and Support of Defence and Civilian Radars</t>
  </si>
  <si>
    <t>Defense Innovation Organisation - Associate</t>
  </si>
  <si>
    <t>Carrying out Defence-related Research and Developmental activities</t>
  </si>
  <si>
    <t>GE BE Private Limited - Associate</t>
  </si>
  <si>
    <t>Unknown</t>
  </si>
  <si>
    <t>Manufacturing of Medical Equipments</t>
  </si>
  <si>
    <t>The transactions with Related Parties other than Key Management Personnel are as follows (Previous 
Year figures are shown in brackets): -</t>
  </si>
  <si>
    <t>BELOP</t>
  </si>
  <si>
    <t>BEL-THALES</t>
  </si>
  <si>
    <t>GE BE</t>
  </si>
  <si>
    <t>DIO</t>
  </si>
  <si>
    <t>Grand Total</t>
  </si>
  <si>
    <t>Purchase of Goods</t>
  </si>
  <si>
    <t>Sale of Goods</t>
  </si>
  <si>
    <t>Services Received</t>
  </si>
  <si>
    <t>Services Rendered</t>
  </si>
  <si>
    <t>Rent Received</t>
  </si>
  <si>
    <t>Interest Income</t>
  </si>
  <si>
    <t>Dividend Income</t>
  </si>
  <si>
    <t>Loan Disbursed</t>
  </si>
  <si>
    <t>Trade Payables Outstanding (as of 31.03.23)</t>
  </si>
  <si>
    <t>Trade Receivables Outstanding (as of 31.03.23)</t>
  </si>
  <si>
    <t>Investment in Equity (as of 31.03.23)</t>
  </si>
  <si>
    <t>Rights Issues during 2022-23</t>
  </si>
  <si>
    <t>Contribution Outstanding (as of 31.03.23)</t>
  </si>
  <si>
    <t>Post Employment Benefit Plans.</t>
  </si>
  <si>
    <t xml:space="preserve">particulars </t>
  </si>
  <si>
    <t>for the year ended 31 march 2023</t>
  </si>
  <si>
    <t>for the year ended 31 march 2022</t>
  </si>
  <si>
    <t>EL Provident Fund Trust</t>
  </si>
  <si>
    <t>BEL Gratuity Trust Fund</t>
  </si>
  <si>
    <t>Bharat Electronics Limited Superannuation (Pension) Trust</t>
  </si>
  <si>
    <t>Bharat Electronics Limited Retired Employees Medical Trust (BREMT)*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</si>
</sst>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375623"/>
      <name val="Arial"/>
      <family val="2"/>
    </font>
    <font>
      <sz val="9"/>
      <color rgb="FF1F1F1F"/>
      <name val="Google Sans"/>
    </font>
    <font>
      <b/>
      <sz val="11"/>
      <color theme="1"/>
      <name val="Calibri"/>
      <family val="2"/>
    </font>
    <font>
      <b/>
      <sz val="11"/>
      <color rgb="FF375623"/>
      <name val="Calibri"/>
      <family val="2"/>
    </font>
    <font>
      <b/>
      <sz val="10"/>
      <color rgb="FF6FA8DC"/>
      <name val="Arial"/>
      <family val="2"/>
    </font>
    <font>
      <b/>
      <sz val="10"/>
      <color rgb="FF6D9EEB"/>
      <name val="Arial"/>
      <family val="2"/>
    </font>
    <font>
      <b/>
      <sz val="10"/>
      <color rgb="FF3D85C6"/>
      <name val="Arial"/>
      <family val="2"/>
    </font>
    <font>
      <b/>
      <sz val="10"/>
      <color rgb="FF4A86E8"/>
      <name val="Arial"/>
      <family val="2"/>
    </font>
    <font>
      <sz val="14"/>
      <color theme="1"/>
      <name val="Calibri"/>
      <family val="2"/>
    </font>
    <font>
      <b/>
      <sz val="10"/>
      <color rgb="FF38761D"/>
      <name val="Arial"/>
      <family val="2"/>
    </font>
    <font>
      <sz val="12"/>
      <color theme="1"/>
      <name val="Arial"/>
      <family val="2"/>
    </font>
    <font>
      <sz val="12"/>
      <color theme="1"/>
      <name val="Google Sans"/>
    </font>
    <font>
      <b/>
      <sz val="12"/>
      <color theme="1"/>
      <name val="Google Sans"/>
    </font>
    <font>
      <sz val="12"/>
      <color rgb="FF1F1F1F"/>
      <name val="Google Sans"/>
    </font>
    <font>
      <sz val="11"/>
      <color theme="1"/>
      <name val="Arial"/>
      <family val="2"/>
    </font>
    <font>
      <b/>
      <sz val="14"/>
      <color theme="1"/>
      <name val="Calibri (Body)"/>
    </font>
    <font>
      <sz val="8"/>
      <color theme="1"/>
      <name val="Avenir"/>
      <family val="2"/>
    </font>
    <font>
      <b/>
      <sz val="8"/>
      <color theme="1"/>
      <name val="Avenir"/>
      <family val="2"/>
    </font>
    <font>
      <b/>
      <sz val="10"/>
      <color theme="4" tint="-0.249977111117893"/>
      <name val="Arial"/>
      <family val="2"/>
    </font>
    <font>
      <sz val="10"/>
      <color theme="4" tint="-0.249977111117893"/>
      <name val="Arial"/>
      <family val="2"/>
    </font>
    <font>
      <b/>
      <sz val="10"/>
      <color rgb="FF000000"/>
      <name val="Arial"/>
      <family val="2"/>
    </font>
    <font>
      <b/>
      <sz val="18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2"/>
      <color rgb="FF1F1F1F"/>
      <name val="Google Sans"/>
      <charset val="1"/>
    </font>
    <font>
      <sz val="18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2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C6D0FA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8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/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/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medium">
        <color rgb="FF000000"/>
      </left>
      <right/>
      <top style="thin">
        <color rgb="FFCCCCCC"/>
      </top>
      <bottom style="thin">
        <color rgb="FFCCCCCC"/>
      </bottom>
      <diagonal/>
    </border>
    <border>
      <left style="medium">
        <color rgb="FF000000"/>
      </left>
      <right/>
      <top style="thin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thin">
        <color rgb="FFCCCCCC"/>
      </bottom>
      <diagonal/>
    </border>
    <border>
      <left/>
      <right style="medium">
        <color rgb="FF000000"/>
      </right>
      <top/>
      <bottom style="thin">
        <color rgb="FFCCCCCC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rgb="FFCCCCCC"/>
      </bottom>
      <diagonal/>
    </border>
    <border>
      <left/>
      <right style="thick">
        <color indexed="64"/>
      </right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311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Font="1"/>
    <xf numFmtId="15" fontId="1" fillId="0" borderId="0" xfId="0" applyNumberFormat="1" applyFont="1"/>
    <xf numFmtId="3" fontId="0" fillId="0" borderId="1" xfId="0" applyNumberFormat="1" applyBorder="1"/>
    <xf numFmtId="3" fontId="1" fillId="0" borderId="1" xfId="0" applyNumberFormat="1" applyFont="1" applyBorder="1"/>
    <xf numFmtId="3" fontId="1" fillId="0" borderId="0" xfId="0" applyNumberFormat="1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1" fillId="3" borderId="2" xfId="0" applyFont="1" applyFill="1" applyBorder="1"/>
    <xf numFmtId="0" fontId="1" fillId="3" borderId="2" xfId="0" applyFont="1" applyFill="1" applyBorder="1" applyAlignment="1">
      <alignment horizontal="left"/>
    </xf>
    <xf numFmtId="0" fontId="1" fillId="0" borderId="2" xfId="0" applyFont="1" applyBorder="1"/>
    <xf numFmtId="0" fontId="1" fillId="4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3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/>
    <xf numFmtId="0" fontId="8" fillId="0" borderId="0" xfId="0" applyFont="1"/>
    <xf numFmtId="0" fontId="0" fillId="0" borderId="0" xfId="0"/>
    <xf numFmtId="0" fontId="0" fillId="0" borderId="2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2" xfId="0" applyBorder="1" applyAlignment="1">
      <alignment horizontal="right"/>
    </xf>
    <xf numFmtId="3" fontId="0" fillId="0" borderId="2" xfId="0" applyNumberForma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2" borderId="0" xfId="0" applyFill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9" fillId="5" borderId="6" xfId="0" applyFont="1" applyFill="1" applyBorder="1" applyAlignment="1"/>
    <xf numFmtId="0" fontId="9" fillId="5" borderId="7" xfId="0" applyFont="1" applyFill="1" applyBorder="1" applyAlignment="1"/>
    <xf numFmtId="0" fontId="9" fillId="5" borderId="8" xfId="0" applyFont="1" applyFill="1" applyBorder="1" applyAlignment="1"/>
    <xf numFmtId="0" fontId="9" fillId="0" borderId="5" xfId="0" applyFont="1" applyBorder="1" applyAlignment="1"/>
    <xf numFmtId="0" fontId="0" fillId="0" borderId="0" xfId="0" applyAlignment="1"/>
    <xf numFmtId="0" fontId="10" fillId="0" borderId="6" xfId="0" applyFont="1" applyBorder="1" applyAlignment="1"/>
    <xf numFmtId="0" fontId="10" fillId="0" borderId="7" xfId="0" applyFont="1" applyBorder="1" applyAlignment="1"/>
    <xf numFmtId="0" fontId="10" fillId="0" borderId="8" xfId="0" applyFont="1" applyBorder="1" applyAlignment="1"/>
    <xf numFmtId="0" fontId="10" fillId="6" borderId="6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9" fillId="0" borderId="5" xfId="0" applyFont="1" applyBorder="1" applyAlignment="1">
      <alignment vertical="top"/>
    </xf>
    <xf numFmtId="0" fontId="10" fillId="5" borderId="9" xfId="0" applyFont="1" applyFill="1" applyBorder="1" applyAlignment="1">
      <alignment vertical="top"/>
    </xf>
    <xf numFmtId="0" fontId="11" fillId="5" borderId="9" xfId="0" applyFont="1" applyFill="1" applyBorder="1" applyAlignment="1">
      <alignment horizontal="right" vertical="top"/>
    </xf>
    <xf numFmtId="0" fontId="10" fillId="0" borderId="5" xfId="0" applyFont="1" applyBorder="1" applyAlignment="1"/>
    <xf numFmtId="3" fontId="9" fillId="0" borderId="5" xfId="0" applyNumberFormat="1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0" fontId="9" fillId="0" borderId="9" xfId="0" applyFont="1" applyBorder="1" applyAlignment="1"/>
    <xf numFmtId="3" fontId="9" fillId="0" borderId="9" xfId="0" applyNumberFormat="1" applyFont="1" applyBorder="1" applyAlignment="1">
      <alignment horizontal="right"/>
    </xf>
    <xf numFmtId="0" fontId="10" fillId="0" borderId="10" xfId="0" applyFont="1" applyBorder="1" applyAlignment="1"/>
    <xf numFmtId="3" fontId="9" fillId="0" borderId="11" xfId="0" applyNumberFormat="1" applyFont="1" applyBorder="1" applyAlignment="1">
      <alignment horizontal="right"/>
    </xf>
    <xf numFmtId="0" fontId="10" fillId="6" borderId="12" xfId="0" applyFont="1" applyFill="1" applyBorder="1" applyAlignment="1">
      <alignment horizontal="center"/>
    </xf>
    <xf numFmtId="0" fontId="10" fillId="6" borderId="13" xfId="0" applyFont="1" applyFill="1" applyBorder="1" applyAlignment="1">
      <alignment horizontal="center"/>
    </xf>
    <xf numFmtId="0" fontId="10" fillId="6" borderId="14" xfId="0" applyFont="1" applyFill="1" applyBorder="1" applyAlignment="1">
      <alignment horizontal="center"/>
    </xf>
    <xf numFmtId="0" fontId="10" fillId="5" borderId="10" xfId="0" applyFont="1" applyFill="1" applyBorder="1" applyAlignment="1"/>
    <xf numFmtId="0" fontId="10" fillId="5" borderId="9" xfId="0" applyFont="1" applyFill="1" applyBorder="1" applyAlignment="1"/>
    <xf numFmtId="0" fontId="10" fillId="5" borderId="11" xfId="0" applyFont="1" applyFill="1" applyBorder="1" applyAlignment="1"/>
    <xf numFmtId="0" fontId="9" fillId="0" borderId="9" xfId="0" applyFont="1" applyBorder="1" applyAlignment="1">
      <alignment horizontal="right"/>
    </xf>
    <xf numFmtId="0" fontId="9" fillId="0" borderId="10" xfId="0" applyFont="1" applyBorder="1" applyAlignment="1"/>
    <xf numFmtId="3" fontId="10" fillId="0" borderId="9" xfId="0" applyNumberFormat="1" applyFont="1" applyBorder="1" applyAlignment="1">
      <alignment horizontal="right"/>
    </xf>
    <xf numFmtId="3" fontId="10" fillId="0" borderId="11" xfId="0" applyNumberFormat="1" applyFont="1" applyBorder="1" applyAlignment="1">
      <alignment horizontal="right"/>
    </xf>
    <xf numFmtId="0" fontId="10" fillId="0" borderId="9" xfId="0" applyFont="1" applyBorder="1" applyAlignment="1">
      <alignment horizontal="right"/>
    </xf>
    <xf numFmtId="0" fontId="10" fillId="0" borderId="11" xfId="0" applyFont="1" applyBorder="1" applyAlignment="1">
      <alignment horizontal="right"/>
    </xf>
    <xf numFmtId="0" fontId="10" fillId="6" borderId="5" xfId="0" applyFont="1" applyFill="1" applyBorder="1" applyAlignment="1"/>
    <xf numFmtId="0" fontId="10" fillId="7" borderId="5" xfId="0" applyFont="1" applyFill="1" applyBorder="1" applyAlignment="1"/>
    <xf numFmtId="0" fontId="9" fillId="8" borderId="5" xfId="0" applyFont="1" applyFill="1" applyBorder="1" applyAlignment="1"/>
    <xf numFmtId="3" fontId="10" fillId="0" borderId="5" xfId="0" applyNumberFormat="1" applyFont="1" applyBorder="1" applyAlignment="1">
      <alignment horizontal="right"/>
    </xf>
    <xf numFmtId="0" fontId="12" fillId="8" borderId="5" xfId="0" applyFont="1" applyFill="1" applyBorder="1" applyAlignment="1">
      <alignment horizontal="right"/>
    </xf>
    <xf numFmtId="3" fontId="9" fillId="8" borderId="5" xfId="0" applyNumberFormat="1" applyFont="1" applyFill="1" applyBorder="1" applyAlignment="1">
      <alignment horizontal="right"/>
    </xf>
    <xf numFmtId="0" fontId="10" fillId="0" borderId="5" xfId="0" applyFont="1" applyBorder="1" applyAlignment="1">
      <alignment horizontal="right"/>
    </xf>
    <xf numFmtId="3" fontId="12" fillId="8" borderId="5" xfId="0" applyNumberFormat="1" applyFont="1" applyFill="1" applyBorder="1" applyAlignment="1">
      <alignment horizontal="right"/>
    </xf>
    <xf numFmtId="0" fontId="9" fillId="8" borderId="5" xfId="0" applyFont="1" applyFill="1" applyBorder="1" applyAlignment="1">
      <alignment horizontal="right"/>
    </xf>
    <xf numFmtId="0" fontId="13" fillId="6" borderId="19" xfId="0" applyFont="1" applyFill="1" applyBorder="1" applyAlignment="1"/>
    <xf numFmtId="0" fontId="13" fillId="6" borderId="20" xfId="0" applyFont="1" applyFill="1" applyBorder="1" applyAlignment="1"/>
    <xf numFmtId="0" fontId="13" fillId="6" borderId="21" xfId="0" applyFont="1" applyFill="1" applyBorder="1" applyAlignment="1"/>
    <xf numFmtId="0" fontId="9" fillId="9" borderId="15" xfId="0" applyFont="1" applyFill="1" applyBorder="1" applyAlignment="1"/>
    <xf numFmtId="0" fontId="2" fillId="9" borderId="16" xfId="0" applyFont="1" applyFill="1" applyBorder="1" applyAlignment="1"/>
    <xf numFmtId="0" fontId="13" fillId="9" borderId="17" xfId="0" applyFont="1" applyFill="1" applyBorder="1" applyAlignment="1">
      <alignment vertical="top"/>
    </xf>
    <xf numFmtId="14" fontId="14" fillId="9" borderId="11" xfId="0" applyNumberFormat="1" applyFont="1" applyFill="1" applyBorder="1" applyAlignment="1">
      <alignment horizontal="right" vertical="top"/>
    </xf>
    <xf numFmtId="0" fontId="15" fillId="0" borderId="15" xfId="0" applyFont="1" applyBorder="1" applyAlignment="1"/>
    <xf numFmtId="0" fontId="9" fillId="0" borderId="16" xfId="0" applyFont="1" applyBorder="1" applyAlignment="1"/>
    <xf numFmtId="0" fontId="10" fillId="0" borderId="15" xfId="0" applyFont="1" applyBorder="1" applyAlignment="1"/>
    <xf numFmtId="0" fontId="9" fillId="0" borderId="15" xfId="0" applyFont="1" applyBorder="1" applyAlignment="1"/>
    <xf numFmtId="3" fontId="9" fillId="0" borderId="16" xfId="0" applyNumberFormat="1" applyFont="1" applyBorder="1" applyAlignment="1">
      <alignment horizontal="right"/>
    </xf>
    <xf numFmtId="0" fontId="9" fillId="0" borderId="16" xfId="0" applyFont="1" applyBorder="1" applyAlignment="1">
      <alignment horizontal="right"/>
    </xf>
    <xf numFmtId="3" fontId="10" fillId="0" borderId="16" xfId="0" applyNumberFormat="1" applyFont="1" applyBorder="1" applyAlignment="1">
      <alignment horizontal="right"/>
    </xf>
    <xf numFmtId="0" fontId="10" fillId="0" borderId="16" xfId="0" applyFont="1" applyBorder="1" applyAlignment="1">
      <alignment horizontal="right"/>
    </xf>
    <xf numFmtId="0" fontId="9" fillId="0" borderId="17" xfId="0" applyFont="1" applyBorder="1" applyAlignment="1"/>
    <xf numFmtId="0" fontId="9" fillId="0" borderId="11" xfId="0" applyFont="1" applyBorder="1" applyAlignment="1">
      <alignment horizontal="right"/>
    </xf>
    <xf numFmtId="0" fontId="10" fillId="0" borderId="17" xfId="0" applyFont="1" applyBorder="1" applyAlignment="1"/>
    <xf numFmtId="0" fontId="16" fillId="0" borderId="15" xfId="0" applyFont="1" applyBorder="1" applyAlignment="1"/>
    <xf numFmtId="0" fontId="13" fillId="6" borderId="12" xfId="0" applyFont="1" applyFill="1" applyBorder="1" applyAlignment="1"/>
    <xf numFmtId="0" fontId="13" fillId="6" borderId="13" xfId="0" applyFont="1" applyFill="1" applyBorder="1" applyAlignment="1"/>
    <xf numFmtId="0" fontId="13" fillId="6" borderId="14" xfId="0" applyFont="1" applyFill="1" applyBorder="1" applyAlignment="1"/>
    <xf numFmtId="0" fontId="17" fillId="0" borderId="16" xfId="0" applyFont="1" applyBorder="1" applyAlignment="1"/>
    <xf numFmtId="0" fontId="9" fillId="0" borderId="11" xfId="0" applyFont="1" applyBorder="1" applyAlignment="1"/>
    <xf numFmtId="0" fontId="10" fillId="6" borderId="9" xfId="0" applyFont="1" applyFill="1" applyBorder="1" applyAlignment="1"/>
    <xf numFmtId="0" fontId="10" fillId="10" borderId="10" xfId="0" applyFont="1" applyFill="1" applyBorder="1" applyAlignment="1"/>
    <xf numFmtId="0" fontId="10" fillId="10" borderId="9" xfId="0" applyFont="1" applyFill="1" applyBorder="1" applyAlignment="1"/>
    <xf numFmtId="0" fontId="10" fillId="10" borderId="11" xfId="0" applyFont="1" applyFill="1" applyBorder="1" applyAlignment="1"/>
    <xf numFmtId="0" fontId="9" fillId="0" borderId="18" xfId="0" applyFont="1" applyBorder="1" applyAlignment="1"/>
    <xf numFmtId="0" fontId="10" fillId="5" borderId="17" xfId="0" applyFont="1" applyFill="1" applyBorder="1" applyAlignment="1"/>
    <xf numFmtId="0" fontId="10" fillId="8" borderId="9" xfId="0" applyFont="1" applyFill="1" applyBorder="1" applyAlignment="1"/>
    <xf numFmtId="0" fontId="10" fillId="0" borderId="18" xfId="0" applyFont="1" applyBorder="1" applyAlignment="1"/>
    <xf numFmtId="0" fontId="13" fillId="6" borderId="6" xfId="0" applyFont="1" applyFill="1" applyBorder="1" applyAlignment="1"/>
    <xf numFmtId="0" fontId="13" fillId="6" borderId="7" xfId="0" applyFont="1" applyFill="1" applyBorder="1" applyAlignment="1"/>
    <xf numFmtId="0" fontId="13" fillId="6" borderId="8" xfId="0" applyFont="1" applyFill="1" applyBorder="1" applyAlignment="1"/>
    <xf numFmtId="0" fontId="9" fillId="9" borderId="5" xfId="0" applyFont="1" applyFill="1" applyBorder="1" applyAlignment="1"/>
    <xf numFmtId="0" fontId="2" fillId="9" borderId="5" xfId="0" applyFont="1" applyFill="1" applyBorder="1" applyAlignment="1"/>
    <xf numFmtId="0" fontId="13" fillId="9" borderId="9" xfId="0" applyFont="1" applyFill="1" applyBorder="1" applyAlignment="1">
      <alignment vertical="top"/>
    </xf>
    <xf numFmtId="14" fontId="14" fillId="9" borderId="9" xfId="0" applyNumberFormat="1" applyFont="1" applyFill="1" applyBorder="1" applyAlignment="1">
      <alignment horizontal="right" vertical="top"/>
    </xf>
    <xf numFmtId="0" fontId="18" fillId="0" borderId="5" xfId="0" applyFont="1" applyBorder="1" applyAlignment="1"/>
    <xf numFmtId="3" fontId="9" fillId="8" borderId="5" xfId="0" applyNumberFormat="1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3" fontId="10" fillId="0" borderId="9" xfId="0" applyNumberFormat="1" applyFont="1" applyBorder="1" applyAlignment="1">
      <alignment horizontal="center"/>
    </xf>
    <xf numFmtId="0" fontId="9" fillId="8" borderId="5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9" fillId="0" borderId="5" xfId="0" applyFont="1" applyBorder="1" applyAlignment="1"/>
    <xf numFmtId="3" fontId="19" fillId="0" borderId="5" xfId="0" applyNumberFormat="1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4" fontId="21" fillId="0" borderId="16" xfId="0" applyNumberFormat="1" applyFont="1" applyBorder="1" applyAlignment="1">
      <alignment horizontal="center"/>
    </xf>
    <xf numFmtId="4" fontId="22" fillId="8" borderId="16" xfId="0" applyNumberFormat="1" applyFont="1" applyFill="1" applyBorder="1" applyAlignment="1">
      <alignment horizontal="center"/>
    </xf>
    <xf numFmtId="0" fontId="9" fillId="8" borderId="16" xfId="0" applyFont="1" applyFill="1" applyBorder="1" applyAlignment="1"/>
    <xf numFmtId="0" fontId="21" fillId="0" borderId="16" xfId="0" applyFont="1" applyBorder="1" applyAlignment="1">
      <alignment horizontal="center"/>
    </xf>
    <xf numFmtId="0" fontId="22" fillId="8" borderId="16" xfId="0" applyFont="1" applyFill="1" applyBorder="1" applyAlignment="1">
      <alignment horizontal="center"/>
    </xf>
    <xf numFmtId="4" fontId="21" fillId="0" borderId="11" xfId="0" applyNumberFormat="1" applyFont="1" applyBorder="1" applyAlignment="1">
      <alignment horizontal="center"/>
    </xf>
    <xf numFmtId="4" fontId="22" fillId="8" borderId="11" xfId="0" applyNumberFormat="1" applyFont="1" applyFill="1" applyBorder="1" applyAlignment="1">
      <alignment horizontal="center"/>
    </xf>
    <xf numFmtId="4" fontId="21" fillId="8" borderId="16" xfId="0" applyNumberFormat="1" applyFont="1" applyFill="1" applyBorder="1" applyAlignment="1">
      <alignment horizontal="center"/>
    </xf>
    <xf numFmtId="0" fontId="21" fillId="0" borderId="11" xfId="0" applyFont="1" applyBorder="1" applyAlignment="1">
      <alignment horizontal="center"/>
    </xf>
    <xf numFmtId="4" fontId="23" fillId="8" borderId="11" xfId="0" applyNumberFormat="1" applyFont="1" applyFill="1" applyBorder="1" applyAlignment="1">
      <alignment horizontal="center"/>
    </xf>
    <xf numFmtId="0" fontId="24" fillId="8" borderId="16" xfId="0" applyFont="1" applyFill="1" applyBorder="1" applyAlignment="1">
      <alignment horizontal="center"/>
    </xf>
    <xf numFmtId="3" fontId="24" fillId="8" borderId="16" xfId="0" applyNumberFormat="1" applyFont="1" applyFill="1" applyBorder="1" applyAlignment="1">
      <alignment horizontal="center"/>
    </xf>
    <xf numFmtId="0" fontId="24" fillId="8" borderId="11" xfId="0" applyFont="1" applyFill="1" applyBorder="1" applyAlignment="1">
      <alignment horizontal="center"/>
    </xf>
    <xf numFmtId="3" fontId="24" fillId="8" borderId="11" xfId="0" applyNumberFormat="1" applyFont="1" applyFill="1" applyBorder="1" applyAlignment="1">
      <alignment horizontal="center"/>
    </xf>
    <xf numFmtId="3" fontId="21" fillId="0" borderId="16" xfId="0" applyNumberFormat="1" applyFont="1" applyBorder="1" applyAlignment="1">
      <alignment horizontal="center"/>
    </xf>
    <xf numFmtId="3" fontId="21" fillId="0" borderId="11" xfId="0" applyNumberFormat="1" applyFont="1" applyBorder="1" applyAlignment="1">
      <alignment horizontal="center"/>
    </xf>
    <xf numFmtId="0" fontId="25" fillId="0" borderId="5" xfId="0" applyFont="1" applyBorder="1" applyAlignment="1"/>
    <xf numFmtId="0" fontId="32" fillId="11" borderId="29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34" fillId="0" borderId="4" xfId="0" applyFont="1" applyBorder="1" applyAlignment="1">
      <alignment horizontal="center"/>
    </xf>
    <xf numFmtId="0" fontId="34" fillId="0" borderId="25" xfId="0" applyFont="1" applyBorder="1" applyAlignment="1">
      <alignment horizontal="center" wrapText="1"/>
    </xf>
    <xf numFmtId="0" fontId="35" fillId="0" borderId="4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0" borderId="25" xfId="0" quotePrefix="1" applyFont="1" applyBorder="1" applyAlignment="1">
      <alignment horizontal="center"/>
    </xf>
    <xf numFmtId="0" fontId="34" fillId="0" borderId="25" xfId="0" applyFont="1" applyBorder="1" applyAlignment="1">
      <alignment horizontal="center"/>
    </xf>
    <xf numFmtId="0" fontId="36" fillId="12" borderId="0" xfId="0" applyFont="1" applyFill="1" applyAlignment="1">
      <alignment horizontal="center"/>
    </xf>
    <xf numFmtId="0" fontId="45" fillId="0" borderId="73" xfId="0" applyFont="1" applyBorder="1" applyAlignment="1">
      <alignment wrapText="1"/>
    </xf>
    <xf numFmtId="0" fontId="45" fillId="0" borderId="74" xfId="0" applyFont="1" applyBorder="1" applyAlignment="1">
      <alignment wrapText="1"/>
    </xf>
    <xf numFmtId="9" fontId="45" fillId="0" borderId="74" xfId="0" applyNumberFormat="1" applyFont="1" applyBorder="1" applyAlignment="1">
      <alignment wrapText="1"/>
    </xf>
    <xf numFmtId="0" fontId="45" fillId="0" borderId="75" xfId="0" applyFont="1" applyBorder="1" applyAlignment="1">
      <alignment wrapText="1"/>
    </xf>
    <xf numFmtId="9" fontId="45" fillId="0" borderId="75" xfId="0" applyNumberFormat="1" applyFont="1" applyBorder="1" applyAlignment="1">
      <alignment wrapText="1"/>
    </xf>
    <xf numFmtId="0" fontId="45" fillId="0" borderId="76" xfId="0" applyFont="1" applyBorder="1" applyAlignment="1">
      <alignment wrapText="1"/>
    </xf>
    <xf numFmtId="0" fontId="45" fillId="0" borderId="47" xfId="0" applyFont="1" applyBorder="1" applyAlignment="1">
      <alignment wrapText="1"/>
    </xf>
    <xf numFmtId="0" fontId="45" fillId="0" borderId="77" xfId="0" applyFont="1" applyBorder="1" applyAlignment="1">
      <alignment wrapText="1"/>
    </xf>
    <xf numFmtId="0" fontId="45" fillId="13" borderId="42" xfId="0" applyFont="1" applyFill="1" applyBorder="1" applyAlignment="1">
      <alignment wrapText="1"/>
    </xf>
    <xf numFmtId="0" fontId="45" fillId="13" borderId="43" xfId="0" applyFont="1" applyFill="1" applyBorder="1" applyAlignment="1">
      <alignment wrapText="1"/>
    </xf>
    <xf numFmtId="0" fontId="45" fillId="13" borderId="72" xfId="0" applyFont="1" applyFill="1" applyBorder="1" applyAlignment="1">
      <alignment wrapText="1"/>
    </xf>
    <xf numFmtId="0" fontId="44" fillId="13" borderId="0" xfId="0" applyFont="1" applyFill="1" applyAlignment="1">
      <alignment wrapText="1"/>
    </xf>
    <xf numFmtId="0" fontId="45" fillId="14" borderId="74" xfId="0" applyFont="1" applyFill="1" applyBorder="1" applyAlignment="1">
      <alignment wrapText="1"/>
    </xf>
    <xf numFmtId="3" fontId="45" fillId="14" borderId="74" xfId="0" applyNumberFormat="1" applyFont="1" applyFill="1" applyBorder="1" applyAlignment="1">
      <alignment wrapText="1"/>
    </xf>
    <xf numFmtId="0" fontId="45" fillId="14" borderId="74" xfId="0" quotePrefix="1" applyFont="1" applyFill="1" applyBorder="1" applyAlignment="1">
      <alignment wrapText="1"/>
    </xf>
    <xf numFmtId="3" fontId="45" fillId="0" borderId="74" xfId="0" applyNumberFormat="1" applyFont="1" applyBorder="1" applyAlignment="1">
      <alignment wrapText="1"/>
    </xf>
    <xf numFmtId="0" fontId="45" fillId="0" borderId="74" xfId="0" quotePrefix="1" applyFont="1" applyBorder="1" applyAlignment="1">
      <alignment wrapText="1"/>
    </xf>
    <xf numFmtId="0" fontId="45" fillId="14" borderId="47" xfId="0" quotePrefix="1" applyFont="1" applyFill="1" applyBorder="1" applyAlignment="1">
      <alignment wrapText="1"/>
    </xf>
    <xf numFmtId="3" fontId="45" fillId="14" borderId="47" xfId="0" applyNumberFormat="1" applyFont="1" applyFill="1" applyBorder="1" applyAlignment="1">
      <alignment wrapText="1"/>
    </xf>
    <xf numFmtId="3" fontId="45" fillId="0" borderId="47" xfId="0" applyNumberFormat="1" applyFont="1" applyBorder="1" applyAlignment="1">
      <alignment wrapText="1"/>
    </xf>
    <xf numFmtId="0" fontId="46" fillId="0" borderId="0" xfId="0" applyFont="1" applyAlignment="1">
      <alignment wrapText="1"/>
    </xf>
    <xf numFmtId="0" fontId="32" fillId="11" borderId="1" xfId="0" applyFont="1" applyFill="1" applyBorder="1" applyAlignment="1">
      <alignment horizontal="center"/>
    </xf>
    <xf numFmtId="0" fontId="32" fillId="11" borderId="26" xfId="0" applyFont="1" applyFill="1" applyBorder="1" applyAlignment="1">
      <alignment horizontal="center"/>
    </xf>
    <xf numFmtId="0" fontId="32" fillId="0" borderId="29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2" fillId="0" borderId="26" xfId="0" applyFont="1" applyBorder="1" applyAlignment="1">
      <alignment horizontal="center"/>
    </xf>
    <xf numFmtId="0" fontId="29" fillId="3" borderId="30" xfId="0" applyFont="1" applyFill="1" applyBorder="1" applyAlignment="1">
      <alignment horizontal="center"/>
    </xf>
    <xf numFmtId="0" fontId="26" fillId="0" borderId="0" xfId="0" applyFont="1" applyAlignment="1"/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" xfId="0" applyFont="1" applyBorder="1" applyAlignment="1"/>
    <xf numFmtId="0" fontId="1" fillId="0" borderId="26" xfId="0" applyFont="1" applyBorder="1" applyAlignment="1"/>
    <xf numFmtId="0" fontId="0" fillId="0" borderId="27" xfId="0" applyBorder="1" applyAlignment="1"/>
    <xf numFmtId="0" fontId="0" fillId="0" borderId="22" xfId="0" applyBorder="1" applyAlignment="1"/>
    <xf numFmtId="3" fontId="27" fillId="0" borderId="0" xfId="0" applyNumberFormat="1" applyFont="1" applyAlignment="1"/>
    <xf numFmtId="0" fontId="1" fillId="0" borderId="22" xfId="0" applyFont="1" applyBorder="1" applyAlignment="1"/>
    <xf numFmtId="3" fontId="28" fillId="0" borderId="0" xfId="0" applyNumberFormat="1" applyFont="1" applyAlignment="1"/>
    <xf numFmtId="0" fontId="27" fillId="0" borderId="0" xfId="0" applyFont="1" applyAlignment="1"/>
    <xf numFmtId="0" fontId="1" fillId="0" borderId="0" xfId="0" applyFont="1" applyAlignment="1"/>
    <xf numFmtId="0" fontId="0" fillId="0" borderId="4" xfId="0" applyBorder="1" applyAlignment="1"/>
    <xf numFmtId="0" fontId="0" fillId="0" borderId="25" xfId="0" applyBorder="1" applyAlignment="1"/>
    <xf numFmtId="0" fontId="1" fillId="0" borderId="25" xfId="0" applyFont="1" applyBorder="1" applyAlignment="1"/>
    <xf numFmtId="0" fontId="1" fillId="0" borderId="4" xfId="0" applyFont="1" applyBorder="1" applyAlignment="1">
      <alignment horizontal="center"/>
    </xf>
    <xf numFmtId="0" fontId="1" fillId="0" borderId="29" xfId="0" applyFont="1" applyBorder="1" applyAlignment="1"/>
    <xf numFmtId="0" fontId="1" fillId="0" borderId="1" xfId="0" applyFont="1" applyBorder="1" applyAlignment="1"/>
    <xf numFmtId="0" fontId="1" fillId="0" borderId="3" xfId="0" applyFont="1" applyBorder="1" applyAlignment="1"/>
    <xf numFmtId="0" fontId="1" fillId="0" borderId="27" xfId="0" applyFont="1" applyBorder="1" applyAlignment="1"/>
    <xf numFmtId="0" fontId="27" fillId="0" borderId="27" xfId="0" applyFont="1" applyBorder="1" applyAlignment="1"/>
    <xf numFmtId="0" fontId="1" fillId="0" borderId="4" xfId="0" applyFont="1" applyBorder="1" applyAlignment="1"/>
    <xf numFmtId="3" fontId="0" fillId="0" borderId="27" xfId="0" applyNumberFormat="1" applyBorder="1" applyAlignment="1"/>
    <xf numFmtId="3" fontId="1" fillId="0" borderId="4" xfId="0" applyNumberFormat="1" applyFont="1" applyBorder="1" applyAlignment="1"/>
    <xf numFmtId="0" fontId="1" fillId="0" borderId="28" xfId="0" applyFont="1" applyBorder="1" applyAlignment="1"/>
    <xf numFmtId="3" fontId="0" fillId="0" borderId="22" xfId="0" applyNumberFormat="1" applyBorder="1" applyAlignment="1"/>
    <xf numFmtId="3" fontId="1" fillId="0" borderId="22" xfId="0" applyNumberFormat="1" applyFont="1" applyBorder="1" applyAlignment="1"/>
    <xf numFmtId="3" fontId="0" fillId="0" borderId="0" xfId="0" applyNumberFormat="1" applyAlignment="1"/>
    <xf numFmtId="3" fontId="1" fillId="0" borderId="0" xfId="0" applyNumberFormat="1" applyFont="1" applyAlignment="1"/>
    <xf numFmtId="3" fontId="1" fillId="0" borderId="25" xfId="0" applyNumberFormat="1" applyFont="1" applyBorder="1" applyAlignment="1"/>
    <xf numFmtId="0" fontId="1" fillId="0" borderId="3" xfId="0" applyFont="1" applyBorder="1" applyAlignment="1"/>
    <xf numFmtId="0" fontId="1" fillId="0" borderId="27" xfId="0" applyFont="1" applyBorder="1" applyAlignment="1"/>
    <xf numFmtId="0" fontId="1" fillId="0" borderId="4" xfId="0" applyFont="1" applyBorder="1" applyAlignment="1"/>
    <xf numFmtId="15" fontId="1" fillId="0" borderId="4" xfId="0" applyNumberFormat="1" applyFont="1" applyBorder="1" applyAlignment="1"/>
    <xf numFmtId="15" fontId="1" fillId="0" borderId="25" xfId="0" applyNumberFormat="1" applyFont="1" applyBorder="1" applyAlignment="1"/>
    <xf numFmtId="0" fontId="0" fillId="0" borderId="24" xfId="0" applyBorder="1" applyAlignment="1"/>
    <xf numFmtId="3" fontId="1" fillId="0" borderId="24" xfId="0" applyNumberFormat="1" applyFont="1" applyBorder="1" applyAlignment="1"/>
    <xf numFmtId="0" fontId="10" fillId="0" borderId="31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0" fillId="0" borderId="35" xfId="0" applyBorder="1" applyAlignment="1"/>
    <xf numFmtId="0" fontId="0" fillId="0" borderId="36" xfId="0" applyBorder="1" applyAlignment="1"/>
    <xf numFmtId="0" fontId="9" fillId="0" borderId="34" xfId="0" applyFont="1" applyBorder="1" applyAlignment="1"/>
    <xf numFmtId="3" fontId="9" fillId="0" borderId="35" xfId="0" applyNumberFormat="1" applyFont="1" applyBorder="1" applyAlignment="1"/>
    <xf numFmtId="3" fontId="9" fillId="0" borderId="36" xfId="0" applyNumberFormat="1" applyFont="1" applyBorder="1" applyAlignment="1"/>
    <xf numFmtId="0" fontId="30" fillId="0" borderId="37" xfId="0" applyFont="1" applyBorder="1" applyAlignment="1"/>
    <xf numFmtId="3" fontId="9" fillId="0" borderId="38" xfId="0" applyNumberFormat="1" applyFont="1" applyBorder="1" applyAlignment="1"/>
    <xf numFmtId="3" fontId="9" fillId="0" borderId="39" xfId="0" applyNumberFormat="1" applyFont="1" applyBorder="1" applyAlignment="1"/>
    <xf numFmtId="0" fontId="9" fillId="0" borderId="35" xfId="0" applyFont="1" applyBorder="1" applyAlignment="1"/>
    <xf numFmtId="0" fontId="9" fillId="0" borderId="36" xfId="0" applyFont="1" applyBorder="1" applyAlignment="1"/>
    <xf numFmtId="0" fontId="9" fillId="0" borderId="38" xfId="0" applyFont="1" applyBorder="1" applyAlignment="1"/>
    <xf numFmtId="0" fontId="9" fillId="0" borderId="39" xfId="0" applyFont="1" applyBorder="1" applyAlignment="1"/>
    <xf numFmtId="0" fontId="10" fillId="0" borderId="37" xfId="0" applyFont="1" applyBorder="1" applyAlignment="1">
      <alignment horizontal="center"/>
    </xf>
    <xf numFmtId="0" fontId="29" fillId="3" borderId="0" xfId="0" applyFont="1" applyFill="1" applyAlignment="1">
      <alignment horizontal="center"/>
    </xf>
    <xf numFmtId="0" fontId="31" fillId="0" borderId="32" xfId="0" applyFont="1" applyBorder="1" applyAlignment="1">
      <alignment horizontal="center"/>
    </xf>
    <xf numFmtId="0" fontId="31" fillId="0" borderId="33" xfId="0" applyFont="1" applyBorder="1" applyAlignment="1">
      <alignment horizontal="center"/>
    </xf>
    <xf numFmtId="0" fontId="0" fillId="0" borderId="38" xfId="0" applyBorder="1" applyAlignment="1"/>
    <xf numFmtId="0" fontId="0" fillId="0" borderId="39" xfId="0" applyBorder="1" applyAlignment="1"/>
    <xf numFmtId="0" fontId="31" fillId="0" borderId="40" xfId="0" applyFont="1" applyBorder="1" applyAlignment="1">
      <alignment horizontal="center"/>
    </xf>
    <xf numFmtId="0" fontId="0" fillId="0" borderId="40" xfId="0" applyBorder="1" applyAlignment="1"/>
    <xf numFmtId="0" fontId="0" fillId="0" borderId="41" xfId="0" applyBorder="1" applyAlignment="1"/>
    <xf numFmtId="0" fontId="31" fillId="0" borderId="32" xfId="0" applyFont="1" applyBorder="1" applyAlignment="1"/>
    <xf numFmtId="0" fontId="31" fillId="0" borderId="33" xfId="0" applyFont="1" applyBorder="1" applyAlignment="1"/>
    <xf numFmtId="0" fontId="0" fillId="0" borderId="32" xfId="0" applyBorder="1" applyAlignment="1"/>
    <xf numFmtId="0" fontId="0" fillId="0" borderId="33" xfId="0" applyBorder="1" applyAlignment="1"/>
    <xf numFmtId="0" fontId="43" fillId="12" borderId="0" xfId="0" applyFont="1" applyFill="1" applyAlignment="1"/>
    <xf numFmtId="0" fontId="0" fillId="12" borderId="0" xfId="0" applyFill="1" applyAlignment="1"/>
    <xf numFmtId="0" fontId="37" fillId="0" borderId="0" xfId="0" applyFont="1" applyAlignment="1"/>
    <xf numFmtId="0" fontId="40" fillId="13" borderId="42" xfId="0" applyFont="1" applyFill="1" applyBorder="1" applyAlignment="1"/>
    <xf numFmtId="0" fontId="40" fillId="13" borderId="43" xfId="0" applyFont="1" applyFill="1" applyBorder="1" applyAlignment="1"/>
    <xf numFmtId="0" fontId="33" fillId="0" borderId="44" xfId="0" applyFont="1" applyBorder="1" applyAlignment="1"/>
    <xf numFmtId="0" fontId="33" fillId="0" borderId="45" xfId="0" applyFont="1" applyBorder="1" applyAlignment="1"/>
    <xf numFmtId="0" fontId="33" fillId="0" borderId="46" xfId="0" applyFont="1" applyBorder="1" applyAlignment="1"/>
    <xf numFmtId="0" fontId="33" fillId="0" borderId="48" xfId="0" applyFont="1" applyBorder="1" applyAlignment="1"/>
    <xf numFmtId="0" fontId="33" fillId="0" borderId="49" xfId="0" applyFont="1" applyBorder="1" applyAlignment="1"/>
    <xf numFmtId="0" fontId="33" fillId="0" borderId="50" xfId="0" applyFont="1" applyBorder="1" applyAlignment="1"/>
    <xf numFmtId="0" fontId="33" fillId="14" borderId="45" xfId="0" applyFont="1" applyFill="1" applyBorder="1" applyAlignment="1"/>
    <xf numFmtId="0" fontId="33" fillId="0" borderId="46" xfId="0" quotePrefix="1" applyFont="1" applyBorder="1" applyAlignment="1"/>
    <xf numFmtId="0" fontId="33" fillId="0" borderId="45" xfId="0" quotePrefix="1" applyFont="1" applyBorder="1" applyAlignment="1"/>
    <xf numFmtId="0" fontId="33" fillId="14" borderId="49" xfId="0" applyFont="1" applyFill="1" applyBorder="1" applyAlignment="1"/>
    <xf numFmtId="0" fontId="33" fillId="14" borderId="50" xfId="0" applyFont="1" applyFill="1" applyBorder="1" applyAlignment="1"/>
    <xf numFmtId="0" fontId="42" fillId="0" borderId="0" xfId="0" applyFont="1" applyAlignment="1"/>
    <xf numFmtId="0" fontId="38" fillId="0" borderId="0" xfId="0" applyFont="1" applyAlignment="1"/>
    <xf numFmtId="0" fontId="10" fillId="0" borderId="67" xfId="0" applyFont="1" applyBorder="1" applyAlignment="1"/>
    <xf numFmtId="0" fontId="10" fillId="0" borderId="60" xfId="0" applyFont="1" applyBorder="1" applyAlignment="1"/>
    <xf numFmtId="0" fontId="10" fillId="0" borderId="68" xfId="0" applyFont="1" applyBorder="1" applyAlignment="1"/>
    <xf numFmtId="0" fontId="9" fillId="0" borderId="69" xfId="0" applyFont="1" applyBorder="1" applyAlignment="1"/>
    <xf numFmtId="0" fontId="9" fillId="0" borderId="70" xfId="0" applyFont="1" applyBorder="1" applyAlignment="1"/>
    <xf numFmtId="0" fontId="9" fillId="0" borderId="71" xfId="0" applyFont="1" applyBorder="1" applyAlignment="1"/>
    <xf numFmtId="0" fontId="9" fillId="0" borderId="65" xfId="0" applyFont="1" applyBorder="1" applyAlignment="1"/>
    <xf numFmtId="0" fontId="9" fillId="0" borderId="62" xfId="0" applyFont="1" applyBorder="1" applyAlignment="1"/>
    <xf numFmtId="0" fontId="9" fillId="0" borderId="63" xfId="0" applyFont="1" applyBorder="1" applyAlignment="1"/>
    <xf numFmtId="0" fontId="9" fillId="0" borderId="66" xfId="0" applyFont="1" applyBorder="1" applyAlignment="1"/>
    <xf numFmtId="0" fontId="9" fillId="0" borderId="61" xfId="0" applyFont="1" applyBorder="1" applyAlignment="1"/>
    <xf numFmtId="0" fontId="9" fillId="0" borderId="64" xfId="0" applyFont="1" applyBorder="1" applyAlignment="1"/>
    <xf numFmtId="0" fontId="41" fillId="0" borderId="0" xfId="0" applyFont="1" applyAlignment="1"/>
    <xf numFmtId="0" fontId="9" fillId="0" borderId="51" xfId="0" applyFont="1" applyBorder="1" applyAlignment="1"/>
    <xf numFmtId="0" fontId="9" fillId="0" borderId="52" xfId="0" applyFont="1" applyBorder="1" applyAlignment="1"/>
    <xf numFmtId="0" fontId="9" fillId="0" borderId="53" xfId="0" applyFont="1" applyBorder="1" applyAlignment="1"/>
    <xf numFmtId="0" fontId="9" fillId="0" borderId="54" xfId="0" applyFont="1" applyBorder="1" applyAlignment="1"/>
    <xf numFmtId="0" fontId="9" fillId="0" borderId="55" xfId="0" applyFont="1" applyBorder="1" applyAlignment="1"/>
    <xf numFmtId="0" fontId="9" fillId="0" borderId="56" xfId="0" applyFont="1" applyBorder="1" applyAlignment="1"/>
    <xf numFmtId="0" fontId="9" fillId="0" borderId="57" xfId="0" applyFont="1" applyBorder="1" applyAlignment="1"/>
    <xf numFmtId="0" fontId="9" fillId="0" borderId="58" xfId="0" applyFont="1" applyBorder="1" applyAlignment="1"/>
    <xf numFmtId="0" fontId="9" fillId="0" borderId="59" xfId="0" applyFont="1" applyBorder="1" applyAlignment="1"/>
    <xf numFmtId="0" fontId="41" fillId="8" borderId="0" xfId="0" applyFont="1" applyFill="1" applyAlignment="1"/>
    <xf numFmtId="3" fontId="9" fillId="0" borderId="55" xfId="0" applyNumberFormat="1" applyFont="1" applyBorder="1" applyAlignment="1"/>
    <xf numFmtId="0" fontId="9" fillId="0" borderId="55" xfId="0" quotePrefix="1" applyFont="1" applyBorder="1" applyAlignment="1"/>
    <xf numFmtId="0" fontId="9" fillId="0" borderId="58" xfId="0" quotePrefix="1" applyFont="1" applyBorder="1" applyAlignment="1"/>
    <xf numFmtId="3" fontId="9" fillId="0" borderId="58" xfId="0" applyNumberFormat="1" applyFont="1" applyBorder="1" applyAlignment="1"/>
    <xf numFmtId="0" fontId="45" fillId="13" borderId="42" xfId="0" applyFont="1" applyFill="1" applyBorder="1" applyAlignment="1"/>
    <xf numFmtId="0" fontId="45" fillId="0" borderId="73" xfId="0" applyFont="1" applyBorder="1" applyAlignment="1"/>
    <xf numFmtId="0" fontId="46" fillId="0" borderId="0" xfId="0" applyFont="1" applyAlignment="1"/>
    <xf numFmtId="0" fontId="33" fillId="13" borderId="78" xfId="0" applyFont="1" applyFill="1" applyBorder="1" applyAlignment="1"/>
    <xf numFmtId="0" fontId="33" fillId="13" borderId="79" xfId="0" applyFont="1" applyFill="1" applyBorder="1" applyAlignment="1"/>
    <xf numFmtId="0" fontId="33" fillId="13" borderId="80" xfId="0" applyFont="1" applyFill="1" applyBorder="1" applyAlignment="1"/>
    <xf numFmtId="0" fontId="33" fillId="0" borderId="81" xfId="0" applyFont="1" applyBorder="1" applyAlignment="1"/>
    <xf numFmtId="0" fontId="33" fillId="0" borderId="82" xfId="0" applyFont="1" applyBorder="1" applyAlignment="1"/>
    <xf numFmtId="0" fontId="33" fillId="0" borderId="83" xfId="0" applyFont="1" applyBorder="1" applyAlignment="1"/>
    <xf numFmtId="0" fontId="33" fillId="0" borderId="82" xfId="0" quotePrefix="1" applyFont="1" applyBorder="1" applyAlignment="1"/>
    <xf numFmtId="0" fontId="33" fillId="0" borderId="83" xfId="0" quotePrefix="1" applyFont="1" applyBorder="1" applyAlignment="1"/>
    <xf numFmtId="0" fontId="33" fillId="0" borderId="84" xfId="0" applyFont="1" applyBorder="1" applyAlignment="1"/>
    <xf numFmtId="0" fontId="33" fillId="0" borderId="85" xfId="0" applyFont="1" applyBorder="1" applyAlignment="1"/>
    <xf numFmtId="0" fontId="33" fillId="0" borderId="86" xfId="0" quotePrefix="1" applyFont="1" applyBorder="1" applyAlignment="1"/>
    <xf numFmtId="0" fontId="2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C15" sqref="C15"/>
    </sheetView>
  </sheetViews>
  <sheetFormatPr defaultRowHeight="14.4"/>
  <cols>
    <col min="1" max="1" width="8.77734375" style="1"/>
    <col min="2" max="2" width="59" bestFit="1" customWidth="1"/>
    <col min="4" max="5" width="9.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4">
        <v>45016</v>
      </c>
      <c r="E1" s="4">
        <v>44651</v>
      </c>
    </row>
    <row r="2" spans="1:5">
      <c r="A2" s="1">
        <v>1</v>
      </c>
      <c r="B2" t="s">
        <v>3</v>
      </c>
      <c r="C2">
        <v>23</v>
      </c>
      <c r="D2" s="2">
        <v>1764620</v>
      </c>
      <c r="E2" s="2">
        <v>1531376</v>
      </c>
    </row>
    <row r="3" spans="1:5">
      <c r="A3" s="1">
        <v>2</v>
      </c>
      <c r="B3" t="s">
        <v>4</v>
      </c>
      <c r="C3">
        <v>24</v>
      </c>
      <c r="D3" s="2">
        <v>36002</v>
      </c>
      <c r="E3" s="2">
        <v>23359</v>
      </c>
    </row>
    <row r="4" spans="1:5">
      <c r="A4" s="1">
        <v>3</v>
      </c>
      <c r="B4" s="8" t="s">
        <v>5</v>
      </c>
      <c r="D4" s="5">
        <v>1800622</v>
      </c>
      <c r="E4" s="5">
        <v>1554735</v>
      </c>
    </row>
    <row r="5" spans="1:5">
      <c r="A5" s="1">
        <v>4</v>
      </c>
      <c r="B5" s="8" t="s">
        <v>6</v>
      </c>
    </row>
    <row r="6" spans="1:5">
      <c r="B6" t="s">
        <v>7</v>
      </c>
      <c r="D6" s="2">
        <v>934270</v>
      </c>
      <c r="E6" s="2">
        <v>809634</v>
      </c>
    </row>
    <row r="7" spans="1:5">
      <c r="B7" t="s">
        <v>8</v>
      </c>
      <c r="D7" s="2">
        <v>3574</v>
      </c>
      <c r="E7" s="2">
        <v>2964</v>
      </c>
    </row>
    <row r="8" spans="1:5">
      <c r="B8" t="s">
        <v>9</v>
      </c>
      <c r="D8" s="2">
        <v>82785</v>
      </c>
      <c r="E8" s="2">
        <v>105349</v>
      </c>
    </row>
    <row r="9" spans="1:5">
      <c r="B9" t="s">
        <v>10</v>
      </c>
      <c r="C9">
        <v>25</v>
      </c>
      <c r="D9" s="2">
        <v>-39745</v>
      </c>
      <c r="E9" s="2">
        <v>-27697</v>
      </c>
    </row>
    <row r="10" spans="1:5">
      <c r="B10" t="s">
        <v>11</v>
      </c>
      <c r="C10">
        <v>26</v>
      </c>
      <c r="D10" s="2">
        <v>229773</v>
      </c>
      <c r="E10" s="2">
        <v>210939</v>
      </c>
    </row>
    <row r="11" spans="1:5">
      <c r="B11" t="s">
        <v>12</v>
      </c>
      <c r="C11">
        <v>27</v>
      </c>
      <c r="D11" s="2">
        <v>1479</v>
      </c>
      <c r="E11">
        <v>485</v>
      </c>
    </row>
    <row r="12" spans="1:5">
      <c r="B12" t="s">
        <v>13</v>
      </c>
      <c r="C12">
        <v>28</v>
      </c>
      <c r="D12" s="2">
        <v>40787</v>
      </c>
      <c r="E12" s="2">
        <v>38018</v>
      </c>
    </row>
    <row r="13" spans="1:5">
      <c r="B13" t="s">
        <v>14</v>
      </c>
      <c r="C13">
        <v>29</v>
      </c>
      <c r="D13" s="2">
        <v>149211</v>
      </c>
      <c r="E13" s="2">
        <v>99263</v>
      </c>
    </row>
    <row r="14" spans="1:5">
      <c r="B14" s="8" t="s">
        <v>15</v>
      </c>
      <c r="D14" s="6">
        <v>1402134</v>
      </c>
      <c r="E14" s="6">
        <v>1238955</v>
      </c>
    </row>
    <row r="15" spans="1:5">
      <c r="A15" s="1">
        <v>5</v>
      </c>
      <c r="B15" s="8" t="s">
        <v>16</v>
      </c>
      <c r="D15" s="6">
        <v>398488</v>
      </c>
      <c r="E15" s="6">
        <v>315780</v>
      </c>
    </row>
    <row r="16" spans="1:5">
      <c r="A16" s="1">
        <v>6</v>
      </c>
      <c r="B16" s="1" t="s">
        <v>17</v>
      </c>
      <c r="D16" t="s">
        <v>35</v>
      </c>
      <c r="E16" t="s">
        <v>35</v>
      </c>
    </row>
    <row r="17" spans="1:5">
      <c r="A17" s="1">
        <v>7</v>
      </c>
      <c r="B17" s="9" t="s">
        <v>18</v>
      </c>
      <c r="D17" s="7">
        <v>398488</v>
      </c>
      <c r="E17" s="7">
        <v>315780</v>
      </c>
    </row>
    <row r="18" spans="1:5">
      <c r="A18" s="1">
        <v>8</v>
      </c>
      <c r="B18" s="1" t="s">
        <v>19</v>
      </c>
      <c r="C18">
        <v>10</v>
      </c>
    </row>
    <row r="19" spans="1:5">
      <c r="B19" s="3" t="s">
        <v>29</v>
      </c>
      <c r="D19" s="2">
        <v>87446</v>
      </c>
      <c r="E19" s="2">
        <v>91052</v>
      </c>
    </row>
    <row r="20" spans="1:5">
      <c r="B20" s="3" t="s">
        <v>30</v>
      </c>
      <c r="D20" s="2">
        <v>-2001</v>
      </c>
      <c r="E20" t="s">
        <v>35</v>
      </c>
    </row>
    <row r="21" spans="1:5">
      <c r="B21" s="3" t="s">
        <v>31</v>
      </c>
      <c r="D21" s="2">
        <v>12376</v>
      </c>
      <c r="E21" s="2">
        <v>-10165</v>
      </c>
    </row>
    <row r="22" spans="1:5">
      <c r="B22" s="8" t="s">
        <v>20</v>
      </c>
      <c r="D22" s="6">
        <v>97821</v>
      </c>
      <c r="E22" s="6">
        <v>80887</v>
      </c>
    </row>
    <row r="23" spans="1:5">
      <c r="A23" s="1">
        <v>9</v>
      </c>
      <c r="B23" s="8" t="s">
        <v>21</v>
      </c>
      <c r="D23" s="6">
        <v>300667</v>
      </c>
      <c r="E23" s="6">
        <v>234893</v>
      </c>
    </row>
    <row r="24" spans="1:5">
      <c r="A24" s="1">
        <v>10</v>
      </c>
      <c r="B24" s="8" t="s">
        <v>22</v>
      </c>
    </row>
    <row r="25" spans="1:5">
      <c r="B25" t="s">
        <v>23</v>
      </c>
    </row>
    <row r="26" spans="1:5">
      <c r="B26" t="s">
        <v>32</v>
      </c>
      <c r="D26" s="2">
        <v>-22217</v>
      </c>
      <c r="E26" s="2">
        <v>-19940</v>
      </c>
    </row>
    <row r="27" spans="1:5">
      <c r="B27" t="s">
        <v>33</v>
      </c>
      <c r="D27">
        <v>2</v>
      </c>
      <c r="E27">
        <v>1</v>
      </c>
    </row>
    <row r="28" spans="1:5">
      <c r="B28" t="s">
        <v>34</v>
      </c>
      <c r="D28" s="2">
        <v>5591</v>
      </c>
      <c r="E28" s="2">
        <v>5018</v>
      </c>
    </row>
    <row r="29" spans="1:5">
      <c r="B29" s="8" t="s">
        <v>24</v>
      </c>
      <c r="D29" s="6">
        <v>-16624</v>
      </c>
      <c r="E29" s="6">
        <v>-14921</v>
      </c>
    </row>
    <row r="30" spans="1:5" ht="29.55" customHeight="1">
      <c r="A30" s="1">
        <v>11</v>
      </c>
      <c r="B30" s="10" t="s">
        <v>25</v>
      </c>
      <c r="D30" s="6">
        <v>284043</v>
      </c>
      <c r="E30" s="6">
        <v>219972</v>
      </c>
    </row>
    <row r="31" spans="1:5">
      <c r="A31" s="1">
        <v>12</v>
      </c>
      <c r="B31" s="1" t="s">
        <v>26</v>
      </c>
      <c r="C31" t="s">
        <v>36</v>
      </c>
    </row>
    <row r="32" spans="1:5">
      <c r="B32" t="s">
        <v>27</v>
      </c>
      <c r="D32">
        <v>4.1100000000000003</v>
      </c>
      <c r="E32">
        <v>3.21</v>
      </c>
    </row>
    <row r="33" spans="2:5">
      <c r="B33" t="s">
        <v>28</v>
      </c>
      <c r="D33">
        <v>4.1100000000000003</v>
      </c>
      <c r="E33">
        <v>3.21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workbookViewId="0">
      <selection activeCell="J11" sqref="J11"/>
    </sheetView>
  </sheetViews>
  <sheetFormatPr defaultRowHeight="14.4"/>
  <cols>
    <col min="1" max="1" width="5.5546875" style="1" bestFit="1" customWidth="1"/>
    <col min="2" max="2" width="79.21875" style="24" bestFit="1" customWidth="1"/>
    <col min="3" max="3" width="7.44140625" style="25" customWidth="1"/>
    <col min="4" max="4" width="12.5546875" style="25" customWidth="1"/>
    <col min="5" max="5" width="13.33203125" style="25" customWidth="1"/>
  </cols>
  <sheetData>
    <row r="1" spans="1:5">
      <c r="A1" s="34" t="s">
        <v>37</v>
      </c>
      <c r="B1" s="34"/>
      <c r="C1" s="34"/>
      <c r="D1" s="34"/>
      <c r="E1" s="34"/>
    </row>
    <row r="3" spans="1:5">
      <c r="A3" s="35" t="s">
        <v>38</v>
      </c>
      <c r="B3" s="35"/>
      <c r="C3" s="35"/>
      <c r="D3" s="35"/>
      <c r="E3" s="35"/>
    </row>
    <row r="4" spans="1:5">
      <c r="A4" s="11" t="s">
        <v>39</v>
      </c>
      <c r="B4" s="12" t="s">
        <v>40</v>
      </c>
      <c r="C4" s="36" t="s">
        <v>41</v>
      </c>
      <c r="D4" s="36" t="s">
        <v>42</v>
      </c>
      <c r="E4" s="36" t="s">
        <v>43</v>
      </c>
    </row>
    <row r="5" spans="1:5">
      <c r="A5" s="13"/>
      <c r="B5" s="14" t="s">
        <v>44</v>
      </c>
      <c r="C5" s="37"/>
      <c r="D5" s="37"/>
      <c r="E5" s="37"/>
    </row>
    <row r="6" spans="1:5">
      <c r="A6" s="13" t="s">
        <v>45</v>
      </c>
      <c r="B6" s="15" t="s">
        <v>46</v>
      </c>
      <c r="C6" s="16"/>
      <c r="D6" s="16"/>
      <c r="E6" s="16"/>
    </row>
    <row r="7" spans="1:5">
      <c r="A7" s="13"/>
      <c r="B7" s="17" t="s">
        <v>47</v>
      </c>
      <c r="C7" s="16">
        <v>1</v>
      </c>
      <c r="D7" s="18">
        <v>259630</v>
      </c>
      <c r="E7" s="18">
        <v>245451</v>
      </c>
    </row>
    <row r="8" spans="1:5">
      <c r="A8" s="13"/>
      <c r="B8" s="17" t="s">
        <v>48</v>
      </c>
      <c r="C8" s="16">
        <v>2</v>
      </c>
      <c r="D8" s="18">
        <v>36157</v>
      </c>
      <c r="E8" s="18">
        <v>39855</v>
      </c>
    </row>
    <row r="9" spans="1:5">
      <c r="A9" s="13"/>
      <c r="B9" s="17" t="s">
        <v>49</v>
      </c>
      <c r="C9" s="16">
        <v>3</v>
      </c>
      <c r="D9" s="16">
        <v>6</v>
      </c>
      <c r="E9" s="16">
        <v>7</v>
      </c>
    </row>
    <row r="10" spans="1:5">
      <c r="A10" s="13"/>
      <c r="B10" s="17" t="s">
        <v>50</v>
      </c>
      <c r="C10" s="16">
        <v>4</v>
      </c>
      <c r="D10" s="18">
        <v>7583</v>
      </c>
      <c r="E10" s="18">
        <v>6905</v>
      </c>
    </row>
    <row r="11" spans="1:5">
      <c r="A11" s="13"/>
      <c r="B11" s="17" t="s">
        <v>51</v>
      </c>
      <c r="C11" s="16">
        <v>5</v>
      </c>
      <c r="D11" s="18">
        <v>47970</v>
      </c>
      <c r="E11" s="18">
        <v>46045</v>
      </c>
    </row>
    <row r="12" spans="1:5">
      <c r="A12" s="13"/>
      <c r="B12" s="17" t="s">
        <v>52</v>
      </c>
      <c r="C12" s="16"/>
      <c r="D12" s="16"/>
      <c r="E12" s="16"/>
    </row>
    <row r="13" spans="1:5">
      <c r="A13" s="13"/>
      <c r="B13" s="19" t="s">
        <v>53</v>
      </c>
      <c r="C13" s="16">
        <v>6</v>
      </c>
      <c r="D13" s="18">
        <v>66440</v>
      </c>
      <c r="E13" s="18">
        <v>155424</v>
      </c>
    </row>
    <row r="14" spans="1:5">
      <c r="A14" s="13"/>
      <c r="B14" s="19" t="s">
        <v>54</v>
      </c>
      <c r="C14" s="16">
        <v>7</v>
      </c>
      <c r="D14" s="16"/>
      <c r="E14" s="16"/>
    </row>
    <row r="15" spans="1:5">
      <c r="A15" s="13"/>
      <c r="B15" s="19" t="s">
        <v>55</v>
      </c>
      <c r="C15" s="16">
        <v>8</v>
      </c>
      <c r="D15" s="18">
        <v>656</v>
      </c>
      <c r="E15" s="18">
        <v>728</v>
      </c>
    </row>
    <row r="16" spans="1:5">
      <c r="A16" s="13"/>
      <c r="B16" s="19" t="s">
        <v>56</v>
      </c>
      <c r="C16" s="16">
        <v>9</v>
      </c>
      <c r="D16" s="18">
        <v>1917</v>
      </c>
      <c r="E16" s="18">
        <v>2275</v>
      </c>
    </row>
    <row r="17" spans="1:5">
      <c r="A17" s="13"/>
      <c r="B17" s="17" t="s">
        <v>57</v>
      </c>
      <c r="C17" s="16">
        <v>10</v>
      </c>
      <c r="D17" s="18">
        <v>50339</v>
      </c>
      <c r="E17" s="18">
        <v>62070</v>
      </c>
    </row>
    <row r="18" spans="1:5">
      <c r="A18" s="13"/>
      <c r="B18" s="17" t="s">
        <v>58</v>
      </c>
      <c r="C18" s="16">
        <v>11</v>
      </c>
      <c r="D18" s="18">
        <v>587</v>
      </c>
      <c r="E18" s="18">
        <v>2734</v>
      </c>
    </row>
    <row r="19" spans="1:5">
      <c r="A19" s="13"/>
      <c r="B19" s="17" t="s">
        <v>59</v>
      </c>
      <c r="C19" s="16">
        <v>12</v>
      </c>
      <c r="D19" s="18">
        <v>43835</v>
      </c>
      <c r="E19" s="18">
        <v>67784</v>
      </c>
    </row>
    <row r="20" spans="1:5" s="1" customFormat="1">
      <c r="A20" s="13"/>
      <c r="B20" s="15"/>
      <c r="C20" s="20"/>
      <c r="D20" s="21">
        <f>SUM(D7:D19)</f>
        <v>515120</v>
      </c>
      <c r="E20" s="21">
        <v>629278</v>
      </c>
    </row>
    <row r="21" spans="1:5">
      <c r="A21" s="13" t="s">
        <v>60</v>
      </c>
      <c r="B21" s="15" t="s">
        <v>61</v>
      </c>
      <c r="C21" s="16"/>
      <c r="D21" s="16"/>
      <c r="E21" s="16"/>
    </row>
    <row r="22" spans="1:5">
      <c r="A22" s="13"/>
      <c r="B22" s="17" t="s">
        <v>62</v>
      </c>
      <c r="C22" s="16">
        <v>11</v>
      </c>
      <c r="D22" s="18">
        <v>640618</v>
      </c>
      <c r="E22" s="18">
        <v>553956</v>
      </c>
    </row>
    <row r="23" spans="1:5">
      <c r="A23" s="13"/>
      <c r="B23" s="17" t="s">
        <v>63</v>
      </c>
      <c r="C23" s="16"/>
      <c r="D23" s="16"/>
      <c r="E23" s="16"/>
    </row>
    <row r="24" spans="1:5">
      <c r="A24" s="13"/>
      <c r="B24" s="17" t="s">
        <v>64</v>
      </c>
      <c r="C24" s="16">
        <v>7</v>
      </c>
      <c r="D24" s="18">
        <v>702201</v>
      </c>
      <c r="E24" s="18">
        <v>610339</v>
      </c>
    </row>
    <row r="25" spans="1:5">
      <c r="A25" s="13"/>
      <c r="B25" s="17" t="s">
        <v>65</v>
      </c>
      <c r="C25" s="16">
        <v>13</v>
      </c>
      <c r="D25" s="18">
        <v>386418</v>
      </c>
      <c r="E25" s="18">
        <v>123904</v>
      </c>
    </row>
    <row r="26" spans="1:5">
      <c r="A26" s="13"/>
      <c r="B26" s="17" t="s">
        <v>66</v>
      </c>
      <c r="C26" s="16">
        <v>14</v>
      </c>
      <c r="D26" s="18">
        <v>414482</v>
      </c>
      <c r="E26" s="18">
        <v>626010</v>
      </c>
    </row>
    <row r="27" spans="1:5">
      <c r="A27" s="13"/>
      <c r="B27" s="17" t="s">
        <v>67</v>
      </c>
      <c r="C27" s="16">
        <v>8</v>
      </c>
      <c r="D27" s="18">
        <v>172</v>
      </c>
      <c r="E27" s="18">
        <v>148</v>
      </c>
    </row>
    <row r="28" spans="1:5">
      <c r="A28" s="13"/>
      <c r="B28" s="17" t="s">
        <v>68</v>
      </c>
      <c r="C28" s="16">
        <v>9</v>
      </c>
      <c r="D28" s="18">
        <v>22392</v>
      </c>
      <c r="E28" s="18">
        <v>10231</v>
      </c>
    </row>
    <row r="29" spans="1:5">
      <c r="A29" s="13"/>
      <c r="B29" s="17" t="s">
        <v>69</v>
      </c>
      <c r="C29" s="16">
        <v>15</v>
      </c>
      <c r="D29" s="18">
        <v>40156</v>
      </c>
      <c r="E29" s="18">
        <v>14325</v>
      </c>
    </row>
    <row r="30" spans="1:5">
      <c r="A30" s="13"/>
      <c r="B30" s="17" t="s">
        <v>70</v>
      </c>
      <c r="C30" s="16">
        <v>12</v>
      </c>
      <c r="D30" s="18">
        <v>783889</v>
      </c>
      <c r="E30" s="18">
        <v>776803</v>
      </c>
    </row>
    <row r="31" spans="1:5">
      <c r="A31" s="13"/>
      <c r="B31" s="17"/>
      <c r="C31" s="16"/>
      <c r="D31" s="21">
        <f>SUM(D22:D30)</f>
        <v>2990328</v>
      </c>
      <c r="E31" s="21">
        <f>SUM(E22:E30)</f>
        <v>2715716</v>
      </c>
    </row>
    <row r="32" spans="1:5">
      <c r="A32" s="13"/>
      <c r="B32" s="15" t="s">
        <v>71</v>
      </c>
      <c r="C32" s="16"/>
      <c r="D32" s="21">
        <f>SUM(D31,D20)</f>
        <v>3505448</v>
      </c>
      <c r="E32" s="21">
        <f>SUM(E31,E20)</f>
        <v>3344994</v>
      </c>
    </row>
    <row r="33" spans="1:5">
      <c r="A33" s="13"/>
      <c r="B33" s="17"/>
      <c r="C33" s="16"/>
      <c r="D33" s="18"/>
      <c r="E33" s="16"/>
    </row>
    <row r="34" spans="1:5">
      <c r="A34" s="13" t="s">
        <v>72</v>
      </c>
      <c r="B34" s="22" t="s">
        <v>73</v>
      </c>
      <c r="C34" s="16"/>
      <c r="D34" s="16"/>
      <c r="E34" s="16"/>
    </row>
    <row r="35" spans="1:5">
      <c r="A35" s="13"/>
      <c r="B35" s="23" t="s">
        <v>74</v>
      </c>
      <c r="C35" s="16"/>
      <c r="D35" s="16"/>
      <c r="E35" s="16"/>
    </row>
    <row r="36" spans="1:5">
      <c r="A36" s="13"/>
      <c r="B36" s="17" t="s">
        <v>75</v>
      </c>
      <c r="C36" s="16">
        <v>16</v>
      </c>
      <c r="D36" s="18">
        <v>73098</v>
      </c>
      <c r="E36" s="18">
        <v>24366</v>
      </c>
    </row>
    <row r="37" spans="1:5">
      <c r="A37" s="13"/>
      <c r="B37" s="17" t="s">
        <v>76</v>
      </c>
      <c r="C37" s="16"/>
      <c r="D37" s="18">
        <v>1285101</v>
      </c>
      <c r="E37" s="18">
        <v>1174060</v>
      </c>
    </row>
    <row r="38" spans="1:5">
      <c r="A38" s="13"/>
      <c r="B38" s="17"/>
      <c r="C38" s="16"/>
      <c r="D38" s="21">
        <v>1358199</v>
      </c>
      <c r="E38" s="21">
        <v>1198426</v>
      </c>
    </row>
    <row r="39" spans="1:5">
      <c r="A39" s="13"/>
      <c r="B39" s="22" t="s">
        <v>77</v>
      </c>
      <c r="C39" s="16"/>
      <c r="D39" s="16"/>
      <c r="E39" s="16"/>
    </row>
    <row r="40" spans="1:5">
      <c r="A40" s="13" t="s">
        <v>78</v>
      </c>
      <c r="B40" s="15" t="s">
        <v>79</v>
      </c>
      <c r="C40" s="16"/>
      <c r="D40" s="16"/>
      <c r="E40" s="16"/>
    </row>
    <row r="41" spans="1:5">
      <c r="A41" s="13"/>
      <c r="B41" s="17" t="s">
        <v>80</v>
      </c>
      <c r="C41" s="16">
        <v>17</v>
      </c>
      <c r="D41" s="16">
        <v>6019</v>
      </c>
      <c r="E41" s="16">
        <v>6152</v>
      </c>
    </row>
    <row r="42" spans="1:5">
      <c r="A42" s="13"/>
      <c r="B42" s="17" t="s">
        <v>81</v>
      </c>
      <c r="C42" s="16"/>
      <c r="D42" s="16"/>
      <c r="E42" s="16"/>
    </row>
    <row r="43" spans="1:5">
      <c r="A43" s="13"/>
      <c r="B43" s="17" t="s">
        <v>82</v>
      </c>
      <c r="C43" s="16">
        <v>18</v>
      </c>
      <c r="D43" s="16" t="s">
        <v>35</v>
      </c>
      <c r="E43" s="16" t="s">
        <v>35</v>
      </c>
    </row>
    <row r="44" spans="1:5">
      <c r="A44" s="13"/>
      <c r="B44" s="17" t="s">
        <v>83</v>
      </c>
      <c r="C44" s="16"/>
      <c r="D44" s="16">
        <v>5942</v>
      </c>
      <c r="E44" s="16">
        <v>5151</v>
      </c>
    </row>
    <row r="45" spans="1:5">
      <c r="A45" s="13"/>
      <c r="B45" s="17" t="s">
        <v>84</v>
      </c>
      <c r="C45" s="16">
        <v>19</v>
      </c>
      <c r="D45" s="16"/>
      <c r="E45" s="16"/>
    </row>
    <row r="46" spans="1:5">
      <c r="A46" s="13"/>
      <c r="B46" s="17" t="s">
        <v>85</v>
      </c>
      <c r="C46" s="16"/>
      <c r="D46" s="16" t="s">
        <v>35</v>
      </c>
      <c r="E46" s="16" t="s">
        <v>35</v>
      </c>
    </row>
    <row r="47" spans="1:5">
      <c r="A47" s="13"/>
      <c r="B47" s="17" t="s">
        <v>86</v>
      </c>
      <c r="C47" s="16"/>
      <c r="D47" s="16">
        <v>37</v>
      </c>
      <c r="E47" s="16">
        <v>34</v>
      </c>
    </row>
    <row r="48" spans="1:5">
      <c r="A48" s="13"/>
      <c r="B48" s="17" t="s">
        <v>87</v>
      </c>
      <c r="C48" s="16">
        <v>20</v>
      </c>
      <c r="D48" s="16">
        <v>473</v>
      </c>
      <c r="E48" s="16">
        <v>2022</v>
      </c>
    </row>
    <row r="49" spans="1:5">
      <c r="A49" s="13"/>
      <c r="B49" s="17" t="s">
        <v>88</v>
      </c>
      <c r="C49" s="16">
        <v>21</v>
      </c>
      <c r="D49" s="16">
        <v>83897</v>
      </c>
      <c r="E49" s="16">
        <v>180006</v>
      </c>
    </row>
    <row r="50" spans="1:5">
      <c r="A50" s="13"/>
      <c r="B50" s="17" t="s">
        <v>89</v>
      </c>
      <c r="C50" s="16">
        <v>22</v>
      </c>
      <c r="D50" s="16" t="s">
        <v>35</v>
      </c>
      <c r="E50" s="16" t="s">
        <v>35</v>
      </c>
    </row>
    <row r="51" spans="1:5">
      <c r="A51" s="13"/>
      <c r="B51" s="17" t="s">
        <v>90</v>
      </c>
      <c r="C51" s="16"/>
      <c r="D51" s="20">
        <v>96368</v>
      </c>
      <c r="E51" s="20">
        <v>193365</v>
      </c>
    </row>
    <row r="52" spans="1:5">
      <c r="A52" s="13" t="s">
        <v>91</v>
      </c>
      <c r="B52" s="15" t="s">
        <v>92</v>
      </c>
      <c r="C52" s="16"/>
      <c r="D52" s="16"/>
      <c r="E52" s="16"/>
    </row>
    <row r="53" spans="1:5">
      <c r="A53" s="13"/>
      <c r="B53" s="17" t="s">
        <v>80</v>
      </c>
      <c r="C53" s="16">
        <v>17</v>
      </c>
      <c r="D53" s="16">
        <v>336</v>
      </c>
      <c r="E53" s="16">
        <v>339</v>
      </c>
    </row>
    <row r="54" spans="1:5">
      <c r="A54" s="13"/>
      <c r="B54" s="17" t="s">
        <v>93</v>
      </c>
      <c r="C54" s="16"/>
      <c r="D54" s="16"/>
      <c r="E54" s="16"/>
    </row>
    <row r="55" spans="1:5">
      <c r="A55" s="13"/>
      <c r="B55" s="17" t="s">
        <v>94</v>
      </c>
      <c r="C55" s="16">
        <v>18</v>
      </c>
      <c r="D55" s="16" t="s">
        <v>35</v>
      </c>
      <c r="E55" s="16" t="s">
        <v>35</v>
      </c>
    </row>
    <row r="56" spans="1:5">
      <c r="A56" s="13"/>
      <c r="B56" s="17" t="s">
        <v>95</v>
      </c>
      <c r="C56" s="16"/>
      <c r="D56" s="16">
        <v>192</v>
      </c>
      <c r="E56" s="16">
        <v>119</v>
      </c>
    </row>
    <row r="57" spans="1:5">
      <c r="A57" s="13"/>
      <c r="B57" s="17" t="s">
        <v>96</v>
      </c>
      <c r="C57" s="16">
        <v>19</v>
      </c>
      <c r="D57" s="16"/>
      <c r="E57" s="16"/>
    </row>
    <row r="58" spans="1:5">
      <c r="A58" s="13"/>
      <c r="B58" s="17" t="s">
        <v>97</v>
      </c>
      <c r="C58" s="16"/>
      <c r="D58" s="16">
        <v>20713</v>
      </c>
      <c r="E58" s="16">
        <v>24795</v>
      </c>
    </row>
    <row r="59" spans="1:5">
      <c r="A59" s="13"/>
      <c r="B59" s="17" t="s">
        <v>98</v>
      </c>
      <c r="C59" s="16"/>
      <c r="D59" s="16">
        <v>311253</v>
      </c>
      <c r="E59" s="16">
        <v>311801</v>
      </c>
    </row>
    <row r="60" spans="1:5">
      <c r="A60" s="13"/>
      <c r="B60" s="17" t="s">
        <v>87</v>
      </c>
      <c r="C60" s="16">
        <v>20</v>
      </c>
      <c r="D60" s="16">
        <v>127006</v>
      </c>
      <c r="E60" s="16">
        <v>95736</v>
      </c>
    </row>
    <row r="61" spans="1:5">
      <c r="A61" s="13"/>
      <c r="B61" s="17" t="s">
        <v>99</v>
      </c>
      <c r="C61" s="16">
        <v>22</v>
      </c>
      <c r="D61" s="16">
        <v>1529066</v>
      </c>
      <c r="E61" s="16">
        <v>1478850</v>
      </c>
    </row>
    <row r="62" spans="1:5">
      <c r="A62" s="13"/>
      <c r="B62" s="17" t="s">
        <v>100</v>
      </c>
      <c r="C62" s="16">
        <v>21</v>
      </c>
      <c r="D62" s="16">
        <v>62315</v>
      </c>
      <c r="E62" s="16">
        <v>41563</v>
      </c>
    </row>
    <row r="63" spans="1:5">
      <c r="A63" s="13"/>
      <c r="B63" s="17" t="s">
        <v>101</v>
      </c>
      <c r="C63" s="16">
        <v>15</v>
      </c>
      <c r="D63" s="16" t="s">
        <v>35</v>
      </c>
      <c r="E63" s="16" t="s">
        <v>35</v>
      </c>
    </row>
    <row r="64" spans="1:5">
      <c r="A64" s="13"/>
      <c r="B64" s="17" t="s">
        <v>102</v>
      </c>
      <c r="C64" s="16"/>
      <c r="D64" s="20">
        <v>2050881</v>
      </c>
      <c r="E64" s="20">
        <v>1953203</v>
      </c>
    </row>
    <row r="65" spans="1:5">
      <c r="A65" s="13"/>
      <c r="B65" s="15" t="s">
        <v>103</v>
      </c>
      <c r="C65" s="16"/>
      <c r="D65" s="20">
        <v>3505448</v>
      </c>
      <c r="E65" s="20">
        <v>3344994</v>
      </c>
    </row>
    <row r="66" spans="1:5">
      <c r="A66" s="13"/>
      <c r="B66" s="17"/>
      <c r="C66" s="16"/>
      <c r="D66" s="16"/>
      <c r="E66" s="16"/>
    </row>
    <row r="67" spans="1:5">
      <c r="A67" s="13"/>
      <c r="B67" s="17"/>
      <c r="C67" s="16"/>
      <c r="D67" s="16"/>
      <c r="E67" s="16"/>
    </row>
    <row r="68" spans="1:5">
      <c r="A68" s="13"/>
      <c r="B68" s="17"/>
      <c r="C68" s="16"/>
      <c r="D68" s="16"/>
      <c r="E68" s="16"/>
    </row>
    <row r="69" spans="1:5">
      <c r="A69" s="13"/>
      <c r="B69" s="17"/>
      <c r="C69" s="16"/>
      <c r="D69" s="16"/>
      <c r="E69" s="16"/>
    </row>
    <row r="70" spans="1:5">
      <c r="A70" s="13"/>
      <c r="B70" s="17"/>
      <c r="C70" s="16"/>
      <c r="D70" s="16"/>
      <c r="E70" s="16"/>
    </row>
    <row r="71" spans="1:5">
      <c r="A71" s="13"/>
      <c r="B71" s="17"/>
      <c r="C71" s="16"/>
      <c r="D71" s="16"/>
      <c r="E71" s="16"/>
    </row>
    <row r="72" spans="1:5">
      <c r="A72" s="13"/>
      <c r="B72" s="17"/>
      <c r="C72" s="16"/>
      <c r="D72" s="16"/>
      <c r="E72" s="16"/>
    </row>
  </sheetData>
  <mergeCells count="5">
    <mergeCell ref="A1:E1"/>
    <mergeCell ref="A3:E3"/>
    <mergeCell ref="C4:C5"/>
    <mergeCell ref="D4:D5"/>
    <mergeCell ref="E4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opLeftCell="A28" workbookViewId="0">
      <selection activeCell="B48" sqref="B48"/>
    </sheetView>
  </sheetViews>
  <sheetFormatPr defaultRowHeight="14.4"/>
  <cols>
    <col min="1" max="1" width="56.5546875" customWidth="1"/>
    <col min="2" max="2" width="18.44140625" customWidth="1"/>
    <col min="3" max="3" width="17.5546875" customWidth="1"/>
  </cols>
  <sheetData>
    <row r="1" spans="1:3">
      <c r="A1" s="1" t="s">
        <v>104</v>
      </c>
      <c r="B1" t="s">
        <v>105</v>
      </c>
      <c r="C1" t="s">
        <v>106</v>
      </c>
    </row>
    <row r="2" spans="1:3">
      <c r="A2" s="26" t="s">
        <v>107</v>
      </c>
      <c r="B2" t="s">
        <v>108</v>
      </c>
      <c r="C2" t="s">
        <v>108</v>
      </c>
    </row>
    <row r="3" spans="1:3">
      <c r="A3" s="1" t="s">
        <v>109</v>
      </c>
      <c r="B3" s="2">
        <v>398488</v>
      </c>
      <c r="C3" s="2">
        <v>315780</v>
      </c>
    </row>
    <row r="4" spans="1:3">
      <c r="A4" t="s">
        <v>110</v>
      </c>
    </row>
    <row r="5" spans="1:3">
      <c r="A5" t="s">
        <v>111</v>
      </c>
      <c r="B5" s="2">
        <v>40787</v>
      </c>
      <c r="C5" s="2">
        <v>38018</v>
      </c>
    </row>
    <row r="6" spans="1:3">
      <c r="A6" t="s">
        <v>112</v>
      </c>
      <c r="B6">
        <v>544</v>
      </c>
      <c r="C6" t="s">
        <v>35</v>
      </c>
    </row>
    <row r="7" spans="1:3">
      <c r="A7" t="s">
        <v>113</v>
      </c>
      <c r="B7" s="2">
        <v>1950</v>
      </c>
      <c r="C7" t="s">
        <v>35</v>
      </c>
    </row>
    <row r="8" spans="1:3">
      <c r="A8" t="s">
        <v>114</v>
      </c>
      <c r="B8" s="2">
        <v>4180</v>
      </c>
      <c r="C8" t="s">
        <v>35</v>
      </c>
    </row>
    <row r="9" spans="1:3">
      <c r="A9" t="s">
        <v>115</v>
      </c>
      <c r="B9" s="2">
        <v>5749</v>
      </c>
      <c r="C9" s="2">
        <v>5329</v>
      </c>
    </row>
    <row r="10" spans="1:3">
      <c r="A10" t="s">
        <v>116</v>
      </c>
      <c r="B10" s="2">
        <v>-350</v>
      </c>
      <c r="C10">
        <v>-398</v>
      </c>
    </row>
    <row r="11" spans="1:3">
      <c r="A11" t="s">
        <v>117</v>
      </c>
      <c r="B11" s="2">
        <v>-25741</v>
      </c>
      <c r="C11" s="2">
        <v>-17377</v>
      </c>
    </row>
    <row r="12" spans="1:3">
      <c r="A12" t="s">
        <v>118</v>
      </c>
      <c r="B12" s="2">
        <v>-8122</v>
      </c>
      <c r="C12">
        <v>-407</v>
      </c>
    </row>
    <row r="13" spans="1:3">
      <c r="A13" t="s">
        <v>119</v>
      </c>
      <c r="B13" s="2">
        <v>370</v>
      </c>
      <c r="C13" s="2">
        <v>306</v>
      </c>
    </row>
    <row r="14" spans="1:3">
      <c r="A14" t="s">
        <v>120</v>
      </c>
      <c r="B14" s="2">
        <v>1109</v>
      </c>
      <c r="C14">
        <v>179</v>
      </c>
    </row>
    <row r="15" spans="1:3">
      <c r="A15" t="s">
        <v>121</v>
      </c>
      <c r="B15" s="2">
        <v>-152</v>
      </c>
      <c r="C15" s="2">
        <v>-45</v>
      </c>
    </row>
    <row r="16" spans="1:3">
      <c r="A16" s="1" t="s">
        <v>122</v>
      </c>
      <c r="B16" s="7">
        <v>418812</v>
      </c>
      <c r="C16" s="7">
        <v>341385</v>
      </c>
    </row>
    <row r="17" spans="1:3">
      <c r="A17" t="s">
        <v>123</v>
      </c>
    </row>
    <row r="18" spans="1:3">
      <c r="A18" t="s">
        <v>124</v>
      </c>
      <c r="B18" s="2">
        <v>-91862</v>
      </c>
      <c r="C18" s="2">
        <v>44815</v>
      </c>
    </row>
    <row r="19" spans="1:3">
      <c r="A19" t="s">
        <v>125</v>
      </c>
      <c r="B19">
        <v>48</v>
      </c>
      <c r="C19">
        <v>392</v>
      </c>
    </row>
    <row r="20" spans="1:3">
      <c r="A20" t="s">
        <v>126</v>
      </c>
      <c r="B20" s="2">
        <v>-11630</v>
      </c>
      <c r="C20" s="2">
        <v>-3540</v>
      </c>
    </row>
    <row r="21" spans="1:3">
      <c r="A21" t="s">
        <v>127</v>
      </c>
      <c r="B21" s="2">
        <v>12683</v>
      </c>
      <c r="C21" s="2">
        <v>-114859</v>
      </c>
    </row>
    <row r="22" spans="1:3">
      <c r="A22" t="s">
        <v>128</v>
      </c>
      <c r="B22" s="2">
        <v>-84515</v>
      </c>
      <c r="C22" s="2">
        <v>-61223</v>
      </c>
    </row>
    <row r="23" spans="1:3">
      <c r="A23" t="s">
        <v>129</v>
      </c>
      <c r="B23" s="2">
        <v>-4627</v>
      </c>
      <c r="C23" s="2">
        <v>6947</v>
      </c>
    </row>
    <row r="24" spans="1:3">
      <c r="A24" t="s">
        <v>130</v>
      </c>
      <c r="B24" s="2">
        <v>30296</v>
      </c>
      <c r="C24" s="2">
        <v>6133</v>
      </c>
    </row>
    <row r="25" spans="1:3">
      <c r="A25" t="s">
        <v>131</v>
      </c>
      <c r="B25" s="2">
        <v>50216</v>
      </c>
      <c r="C25" s="2">
        <v>262353</v>
      </c>
    </row>
    <row r="26" spans="1:3">
      <c r="A26" t="s">
        <v>132</v>
      </c>
      <c r="B26" s="2">
        <v>-97572</v>
      </c>
      <c r="C26" s="2">
        <v>26640</v>
      </c>
    </row>
    <row r="27" spans="1:3">
      <c r="A27" t="s">
        <v>133</v>
      </c>
      <c r="B27" s="2">
        <v>-14830</v>
      </c>
      <c r="C27" s="2">
        <v>-12683</v>
      </c>
    </row>
    <row r="28" spans="1:3">
      <c r="A28" s="1" t="s">
        <v>134</v>
      </c>
      <c r="B28" s="7">
        <v>207019</v>
      </c>
      <c r="C28" s="7">
        <v>496360</v>
      </c>
    </row>
    <row r="29" spans="1:3">
      <c r="A29" t="s">
        <v>135</v>
      </c>
      <c r="B29" s="2">
        <v>-91500</v>
      </c>
      <c r="C29" s="2">
        <v>-80244</v>
      </c>
    </row>
    <row r="30" spans="1:3">
      <c r="A30" s="1" t="s">
        <v>136</v>
      </c>
      <c r="B30" s="7">
        <v>115519</v>
      </c>
      <c r="C30" s="7">
        <v>416116</v>
      </c>
    </row>
    <row r="31" spans="1:3">
      <c r="A31" t="s">
        <v>17</v>
      </c>
      <c r="B31" t="s">
        <v>137</v>
      </c>
      <c r="C31" t="s">
        <v>137</v>
      </c>
    </row>
    <row r="32" spans="1:3">
      <c r="A32" s="1" t="s">
        <v>138</v>
      </c>
      <c r="B32" s="7">
        <v>115519</v>
      </c>
      <c r="C32" s="7">
        <v>416116</v>
      </c>
    </row>
    <row r="33" spans="1:3" s="28" customFormat="1">
      <c r="A33" s="30" t="s">
        <v>147</v>
      </c>
      <c r="B33" s="33"/>
      <c r="C33" s="33"/>
    </row>
    <row r="34" spans="1:3" s="28" customFormat="1">
      <c r="A34" s="29" t="s">
        <v>148</v>
      </c>
      <c r="B34" s="32">
        <v>-56382</v>
      </c>
      <c r="C34" s="32">
        <v>-55348</v>
      </c>
    </row>
    <row r="35" spans="1:3" s="28" customFormat="1">
      <c r="A35" s="29" t="s">
        <v>149</v>
      </c>
      <c r="B35" s="31">
        <v>214</v>
      </c>
      <c r="C35" s="31" t="s">
        <v>35</v>
      </c>
    </row>
    <row r="36" spans="1:3" s="28" customFormat="1">
      <c r="A36" s="29" t="s">
        <v>150</v>
      </c>
      <c r="B36" s="31">
        <v>170</v>
      </c>
      <c r="C36" s="31">
        <v>740</v>
      </c>
    </row>
    <row r="37" spans="1:3" s="28" customFormat="1">
      <c r="A37" s="29" t="s">
        <v>151</v>
      </c>
      <c r="B37" s="31" t="s">
        <v>152</v>
      </c>
      <c r="C37" s="31">
        <v>-426927</v>
      </c>
    </row>
    <row r="38" spans="1:3" s="28" customFormat="1">
      <c r="A38" s="29" t="s">
        <v>153</v>
      </c>
      <c r="B38" s="32">
        <v>88984</v>
      </c>
      <c r="C38" s="32">
        <v>-22305</v>
      </c>
    </row>
    <row r="39" spans="1:3" s="28" customFormat="1">
      <c r="A39" s="29" t="s">
        <v>154</v>
      </c>
      <c r="B39" s="32">
        <v>25741</v>
      </c>
      <c r="C39" s="31">
        <v>17377</v>
      </c>
    </row>
    <row r="40" spans="1:3" s="28" customFormat="1">
      <c r="A40" s="29" t="s">
        <v>155</v>
      </c>
      <c r="B40" s="32">
        <v>8122</v>
      </c>
      <c r="C40" s="31">
        <v>407</v>
      </c>
    </row>
    <row r="41" spans="1:3" s="28" customFormat="1">
      <c r="A41" s="30" t="s">
        <v>156</v>
      </c>
      <c r="B41" s="33" t="s">
        <v>157</v>
      </c>
      <c r="C41" s="33">
        <v>-486056</v>
      </c>
    </row>
    <row r="42" spans="1:3">
      <c r="A42" s="27" t="s">
        <v>139</v>
      </c>
      <c r="B42">
        <v>-5058</v>
      </c>
      <c r="C42">
        <v>-4738</v>
      </c>
    </row>
    <row r="43" spans="1:3">
      <c r="A43" t="s">
        <v>142</v>
      </c>
      <c r="B43">
        <v>-124239</v>
      </c>
      <c r="C43">
        <v>-102331</v>
      </c>
    </row>
    <row r="44" spans="1:3">
      <c r="A44" t="s">
        <v>143</v>
      </c>
      <c r="B44">
        <v>-433</v>
      </c>
      <c r="C44">
        <v>-167</v>
      </c>
    </row>
    <row r="45" spans="1:3">
      <c r="A45" t="s">
        <v>144</v>
      </c>
      <c r="B45">
        <v>-370</v>
      </c>
      <c r="C45">
        <v>-306</v>
      </c>
    </row>
    <row r="46" spans="1:3">
      <c r="A46" t="s">
        <v>145</v>
      </c>
      <c r="B46">
        <v>-1109</v>
      </c>
      <c r="C46">
        <v>-107</v>
      </c>
    </row>
    <row r="47" spans="1:3">
      <c r="A47" t="s">
        <v>146</v>
      </c>
      <c r="B47">
        <f>SUM(B42:B46)</f>
        <v>-131209</v>
      </c>
      <c r="C47">
        <f>SUM(C42:C46)</f>
        <v>-107649</v>
      </c>
    </row>
    <row r="48" spans="1:3">
      <c r="A48" t="s">
        <v>140</v>
      </c>
    </row>
    <row r="49" spans="1:1">
      <c r="A49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60"/>
  <sheetViews>
    <sheetView workbookViewId="0">
      <selection activeCell="E13" sqref="E13"/>
    </sheetView>
  </sheetViews>
  <sheetFormatPr defaultRowHeight="14.4"/>
  <cols>
    <col min="1" max="1" width="39.44140625" style="42" customWidth="1"/>
    <col min="2" max="2" width="21.21875" style="42" customWidth="1"/>
    <col min="3" max="3" width="20.77734375" style="42" customWidth="1"/>
    <col min="4" max="16384" width="8.88671875" style="42"/>
  </cols>
  <sheetData>
    <row r="1" spans="1:26" ht="15" thickBot="1">
      <c r="A1" s="38"/>
      <c r="B1" s="39"/>
      <c r="C1" s="40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15" thickBot="1">
      <c r="A2" s="43" t="s">
        <v>158</v>
      </c>
      <c r="B2" s="44"/>
      <c r="C2" s="45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26.4" customHeight="1" thickBot="1">
      <c r="A3" s="46" t="s">
        <v>159</v>
      </c>
      <c r="B3" s="47"/>
      <c r="C3" s="48"/>
      <c r="D3" s="41"/>
      <c r="E3" s="49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15" thickBot="1">
      <c r="A4" s="41"/>
      <c r="B4" s="41" t="s">
        <v>160</v>
      </c>
      <c r="C4" s="41" t="s">
        <v>161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15" thickBot="1">
      <c r="A5" s="50" t="s">
        <v>40</v>
      </c>
      <c r="B5" s="51" t="s">
        <v>162</v>
      </c>
      <c r="C5" s="51" t="s">
        <v>163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15" thickBo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5" thickBot="1">
      <c r="A7" s="52" t="s">
        <v>164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5" thickBot="1">
      <c r="A8" s="41" t="s">
        <v>165</v>
      </c>
      <c r="B8" s="53">
        <v>14361</v>
      </c>
      <c r="C8" s="53">
        <v>14317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15" thickBot="1">
      <c r="A9" s="41" t="s">
        <v>166</v>
      </c>
      <c r="B9" s="53">
        <v>2224</v>
      </c>
      <c r="C9" s="53">
        <v>1758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15" thickBot="1">
      <c r="A10" s="41" t="s">
        <v>167</v>
      </c>
      <c r="B10" s="53">
        <v>79659</v>
      </c>
      <c r="C10" s="53">
        <v>72704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15" thickBot="1">
      <c r="A11" s="41" t="s">
        <v>168</v>
      </c>
      <c r="B11" s="53">
        <v>2666</v>
      </c>
      <c r="C11" s="53">
        <v>2190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15" thickBot="1">
      <c r="A12" s="41" t="s">
        <v>169</v>
      </c>
      <c r="B12" s="53">
        <v>91648</v>
      </c>
      <c r="C12" s="53">
        <v>85062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15" thickBot="1">
      <c r="A13" s="41" t="s">
        <v>170</v>
      </c>
      <c r="B13" s="53">
        <v>16543</v>
      </c>
      <c r="C13" s="53">
        <v>20073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15" thickBot="1">
      <c r="A14" s="41" t="s">
        <v>171</v>
      </c>
      <c r="B14" s="53">
        <v>15577</v>
      </c>
      <c r="C14" s="53">
        <v>15024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15" thickBot="1">
      <c r="A15" s="41" t="s">
        <v>172</v>
      </c>
      <c r="B15" s="54">
        <v>502</v>
      </c>
      <c r="C15" s="54">
        <v>452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5" thickBot="1">
      <c r="A16" s="41" t="s">
        <v>173</v>
      </c>
      <c r="B16" s="53">
        <v>6092</v>
      </c>
      <c r="C16" s="53">
        <v>4522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15" thickBot="1">
      <c r="A17" s="41" t="s">
        <v>174</v>
      </c>
      <c r="B17" s="53">
        <v>4298</v>
      </c>
      <c r="C17" s="53">
        <v>4243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15" thickBot="1">
      <c r="A18" s="41" t="s">
        <v>175</v>
      </c>
      <c r="B18" s="41" t="s">
        <v>35</v>
      </c>
      <c r="C18" s="41" t="s">
        <v>35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15" thickBot="1">
      <c r="A19" s="52" t="s">
        <v>176</v>
      </c>
      <c r="B19" s="41" t="s">
        <v>35</v>
      </c>
      <c r="C19" s="41" t="s">
        <v>35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15" thickBot="1">
      <c r="A20" s="41" t="s">
        <v>177</v>
      </c>
      <c r="B20" s="53">
        <v>5536</v>
      </c>
      <c r="C20" s="53">
        <v>4421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15" thickBot="1">
      <c r="A21" s="55" t="s">
        <v>178</v>
      </c>
      <c r="B21" s="56">
        <v>20524</v>
      </c>
      <c r="C21" s="56">
        <v>20685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15" thickBot="1">
      <c r="A22" s="57" t="s">
        <v>179</v>
      </c>
      <c r="B22" s="56">
        <v>259630</v>
      </c>
      <c r="C22" s="58">
        <v>245451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15" thickBo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15" thickBo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15" thickBo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15" thickBot="1">
      <c r="A26" s="43" t="s">
        <v>180</v>
      </c>
      <c r="B26" s="44"/>
      <c r="C26" s="45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15" thickBot="1">
      <c r="A27" s="59" t="s">
        <v>181</v>
      </c>
      <c r="B27" s="60"/>
      <c r="C27" s="6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15" thickBot="1">
      <c r="A28" s="62" t="s">
        <v>40</v>
      </c>
      <c r="B28" s="63" t="s">
        <v>162</v>
      </c>
      <c r="C28" s="64" t="s">
        <v>163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15" thickBo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15" thickBot="1">
      <c r="A30" s="41" t="s">
        <v>182</v>
      </c>
      <c r="B30" s="53">
        <v>25429</v>
      </c>
      <c r="C30" s="53">
        <v>20849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15" thickBot="1">
      <c r="A31" s="41" t="s">
        <v>183</v>
      </c>
      <c r="B31" s="53">
        <v>5048</v>
      </c>
      <c r="C31" s="53">
        <v>16918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15" thickBot="1">
      <c r="A32" s="41" t="s">
        <v>184</v>
      </c>
      <c r="B32" s="53">
        <v>5505</v>
      </c>
      <c r="C32" s="53">
        <v>1643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15" thickBot="1">
      <c r="A33" s="55" t="s">
        <v>185</v>
      </c>
      <c r="B33" s="65">
        <v>299</v>
      </c>
      <c r="C33" s="65">
        <v>569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15" thickBot="1">
      <c r="A34" s="66"/>
      <c r="B34" s="67">
        <v>36281</v>
      </c>
      <c r="C34" s="68">
        <v>39979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15" thickBot="1">
      <c r="A35" s="55" t="s">
        <v>186</v>
      </c>
      <c r="B35" s="65">
        <v>-124</v>
      </c>
      <c r="C35" s="65">
        <v>-124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15" thickBot="1">
      <c r="A36" s="66"/>
      <c r="B36" s="67">
        <v>36157</v>
      </c>
      <c r="C36" s="68">
        <v>39855</v>
      </c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15" thickBo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15" thickBo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15" thickBo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15" thickBot="1">
      <c r="A40" s="52" t="s">
        <v>187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15" thickBot="1">
      <c r="A41" s="59" t="s">
        <v>188</v>
      </c>
      <c r="B41" s="60"/>
      <c r="C41" s="6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15" thickBot="1">
      <c r="A42" s="62" t="s">
        <v>40</v>
      </c>
      <c r="B42" s="63" t="s">
        <v>162</v>
      </c>
      <c r="C42" s="64" t="s">
        <v>163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15" thickBo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15" thickBot="1">
      <c r="A44" s="41" t="s">
        <v>189</v>
      </c>
      <c r="B44" s="41" t="s">
        <v>35</v>
      </c>
      <c r="C44" s="41" t="s">
        <v>35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15" thickBot="1">
      <c r="A45" s="55" t="s">
        <v>167</v>
      </c>
      <c r="B45" s="65">
        <v>6</v>
      </c>
      <c r="C45" s="65">
        <v>7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15" thickBot="1">
      <c r="A46" s="57" t="s">
        <v>179</v>
      </c>
      <c r="B46" s="69">
        <v>6</v>
      </c>
      <c r="C46" s="70">
        <v>7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15" thickBo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15" thickBo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15" thickBo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15" thickBot="1">
      <c r="A50" s="52" t="s">
        <v>190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15" thickBot="1">
      <c r="A51" s="59" t="s">
        <v>191</v>
      </c>
      <c r="B51" s="60"/>
      <c r="C51" s="6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15" thickBot="1">
      <c r="A52" s="62" t="s">
        <v>40</v>
      </c>
      <c r="B52" s="63" t="s">
        <v>162</v>
      </c>
      <c r="C52" s="64" t="s">
        <v>163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15" thickBo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15" thickBot="1">
      <c r="A54" s="41" t="s">
        <v>192</v>
      </c>
      <c r="B54" s="53">
        <v>1473</v>
      </c>
      <c r="C54" s="53">
        <v>1934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15" thickBot="1">
      <c r="A55" s="55" t="s">
        <v>193</v>
      </c>
      <c r="B55" s="56">
        <v>6110</v>
      </c>
      <c r="C55" s="56">
        <v>4971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15" thickBot="1">
      <c r="A56" s="57" t="s">
        <v>179</v>
      </c>
      <c r="B56" s="67">
        <v>7583</v>
      </c>
      <c r="C56" s="68">
        <v>6905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ht="15" thickBo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ht="15" thickBo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15" thickBo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15" thickBo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15" thickBot="1">
      <c r="A61" s="71" t="s">
        <v>194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ht="15" thickBot="1">
      <c r="A62" s="72" t="s">
        <v>40</v>
      </c>
      <c r="B62" s="72" t="s">
        <v>162</v>
      </c>
      <c r="C62" s="72" t="s">
        <v>163</v>
      </c>
      <c r="D62" s="73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ht="15" thickBot="1">
      <c r="A63" s="41" t="s">
        <v>195</v>
      </c>
      <c r="B63" s="53">
        <v>55728</v>
      </c>
      <c r="C63" s="53">
        <v>53258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ht="15" thickBot="1">
      <c r="A64" s="41" t="s">
        <v>186</v>
      </c>
      <c r="B64" s="53">
        <v>-7758</v>
      </c>
      <c r="C64" s="53">
        <v>-7213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ht="15" thickBot="1">
      <c r="A65" s="41"/>
      <c r="B65" s="74">
        <v>47970</v>
      </c>
      <c r="C65" s="74">
        <v>46045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ht="15" thickBo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ht="15" thickBot="1">
      <c r="A67" s="71" t="s">
        <v>196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ht="15" thickBot="1">
      <c r="A68" s="72" t="s">
        <v>40</v>
      </c>
      <c r="B68" s="72" t="s">
        <v>162</v>
      </c>
      <c r="C68" s="72" t="s">
        <v>163</v>
      </c>
      <c r="D68" s="73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ht="15" thickBot="1">
      <c r="A69" s="52" t="s">
        <v>197</v>
      </c>
      <c r="B69" s="73"/>
      <c r="C69" s="73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ht="15" thickBot="1">
      <c r="A70" s="41" t="s">
        <v>198</v>
      </c>
      <c r="B70" s="75">
        <v>227</v>
      </c>
      <c r="C70" s="75">
        <v>227</v>
      </c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ht="15" thickBot="1">
      <c r="A71" s="52" t="s">
        <v>199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ht="15" thickBot="1">
      <c r="A72" s="52" t="s">
        <v>200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ht="15" thickBot="1">
      <c r="A73" s="41" t="s">
        <v>201</v>
      </c>
      <c r="B73" s="53">
        <v>16763</v>
      </c>
      <c r="C73" s="76">
        <v>16763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ht="15" thickBot="1">
      <c r="A74" s="41" t="s">
        <v>202</v>
      </c>
      <c r="B74" s="53">
        <v>4264</v>
      </c>
      <c r="C74" s="76">
        <v>4264</v>
      </c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ht="15" thickBot="1">
      <c r="A75" s="52" t="s">
        <v>203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ht="15" thickBot="1">
      <c r="A76" s="41" t="s">
        <v>204</v>
      </c>
      <c r="B76" s="54">
        <v>260</v>
      </c>
      <c r="C76" s="54">
        <v>260</v>
      </c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ht="15" thickBot="1">
      <c r="A77" s="52" t="s">
        <v>205</v>
      </c>
      <c r="B77" s="41"/>
      <c r="C77" s="73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ht="15" thickBot="1">
      <c r="A78" s="41" t="s">
        <v>206</v>
      </c>
      <c r="B78" s="54">
        <v>15</v>
      </c>
      <c r="C78" s="54">
        <v>13</v>
      </c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ht="15" thickBot="1">
      <c r="A79" s="41" t="s">
        <v>207</v>
      </c>
      <c r="B79" s="54">
        <v>1</v>
      </c>
      <c r="C79" s="54">
        <v>1</v>
      </c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ht="15" thickBot="1">
      <c r="A80" s="52" t="s">
        <v>208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ht="15" thickBot="1">
      <c r="A81" s="52" t="s">
        <v>209</v>
      </c>
      <c r="B81" s="54">
        <v>0</v>
      </c>
      <c r="C81" s="54">
        <v>0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ht="15" thickBot="1">
      <c r="A82" s="52" t="s">
        <v>210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ht="15" thickBot="1">
      <c r="A83" s="41" t="s">
        <v>211</v>
      </c>
      <c r="B83" s="53">
        <v>44910</v>
      </c>
      <c r="C83" s="54">
        <v>133896</v>
      </c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ht="15" thickBot="1">
      <c r="A84" s="41"/>
      <c r="B84" s="77">
        <v>66440</v>
      </c>
      <c r="C84" s="77">
        <v>155424</v>
      </c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ht="15" thickBo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ht="15" thickBo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ht="15" thickBo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ht="15" thickBot="1">
      <c r="A88" s="71" t="s">
        <v>212</v>
      </c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ht="15" thickBot="1">
      <c r="A89" s="72" t="s">
        <v>40</v>
      </c>
      <c r="B89" s="72" t="s">
        <v>162</v>
      </c>
      <c r="C89" s="72" t="s">
        <v>163</v>
      </c>
      <c r="D89" s="73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ht="15" thickBot="1">
      <c r="A90" s="41" t="s">
        <v>213</v>
      </c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ht="15" thickBot="1">
      <c r="A91" s="52" t="s">
        <v>214</v>
      </c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ht="15" thickBot="1">
      <c r="A92" s="41" t="s">
        <v>215</v>
      </c>
      <c r="B92" s="53">
        <v>183839</v>
      </c>
      <c r="C92" s="78">
        <v>159043</v>
      </c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ht="15" thickBot="1">
      <c r="A93" s="41" t="s">
        <v>216</v>
      </c>
      <c r="B93" s="53">
        <v>-183839</v>
      </c>
      <c r="C93" s="53">
        <v>-159043</v>
      </c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ht="15" thickBot="1">
      <c r="A94" s="52" t="s">
        <v>217</v>
      </c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ht="15" thickBot="1">
      <c r="A95" s="52" t="s">
        <v>218</v>
      </c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ht="15" thickBot="1">
      <c r="A96" s="41" t="s">
        <v>219</v>
      </c>
      <c r="B96" s="54">
        <v>934</v>
      </c>
      <c r="C96" s="79">
        <v>785</v>
      </c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ht="15" thickBot="1">
      <c r="A97" s="41" t="s">
        <v>220</v>
      </c>
      <c r="B97" s="54">
        <v>701267</v>
      </c>
      <c r="C97" s="79">
        <v>609554</v>
      </c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ht="15" thickBot="1">
      <c r="A98" s="52" t="s">
        <v>221</v>
      </c>
      <c r="B98" s="77">
        <v>702201</v>
      </c>
      <c r="C98" s="77">
        <v>610339</v>
      </c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ht="15" thickBot="1">
      <c r="A99" s="52" t="s">
        <v>222</v>
      </c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 ht="15" thickBo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 ht="15" thickBo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 ht="15" thickBot="1">
      <c r="A102" s="71" t="s">
        <v>223</v>
      </c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 ht="15" thickBot="1">
      <c r="A103" s="72" t="s">
        <v>40</v>
      </c>
      <c r="B103" s="72" t="s">
        <v>162</v>
      </c>
      <c r="C103" s="72" t="s">
        <v>163</v>
      </c>
      <c r="D103" s="73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 ht="15" thickBot="1">
      <c r="A104" s="52" t="s">
        <v>224</v>
      </c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 ht="15" thickBot="1">
      <c r="A105" s="41" t="s">
        <v>225</v>
      </c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 ht="15" thickBot="1">
      <c r="A106" s="41" t="s">
        <v>226</v>
      </c>
      <c r="B106" s="79">
        <v>656</v>
      </c>
      <c r="C106" s="79">
        <v>728</v>
      </c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 ht="15" thickBot="1">
      <c r="A107" s="52" t="s">
        <v>184</v>
      </c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 ht="15" thickBot="1">
      <c r="A108" s="41" t="s">
        <v>226</v>
      </c>
      <c r="B108" s="54">
        <v>1</v>
      </c>
      <c r="C108" s="54">
        <v>1</v>
      </c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 ht="15" thickBot="1">
      <c r="A109" s="41" t="s">
        <v>216</v>
      </c>
      <c r="B109" s="54">
        <v>-1</v>
      </c>
      <c r="C109" s="54">
        <v>-1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 ht="15" thickBot="1">
      <c r="A110" s="41" t="s">
        <v>227</v>
      </c>
      <c r="B110" s="54">
        <v>132</v>
      </c>
      <c r="C110" s="54">
        <v>132</v>
      </c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 ht="15" thickBot="1">
      <c r="A111" s="41" t="s">
        <v>228</v>
      </c>
      <c r="B111" s="54">
        <v>-132</v>
      </c>
      <c r="C111" s="54">
        <v>-132</v>
      </c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 ht="15" thickBot="1">
      <c r="A112" s="41" t="s">
        <v>217</v>
      </c>
      <c r="B112" s="77">
        <v>656</v>
      </c>
      <c r="C112" s="77">
        <v>728</v>
      </c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 ht="15" thickBot="1">
      <c r="A113" s="52" t="s">
        <v>218</v>
      </c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 ht="15" thickBot="1">
      <c r="A114" s="52" t="s">
        <v>220</v>
      </c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 ht="15" thickBot="1">
      <c r="A115" s="41" t="s">
        <v>229</v>
      </c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 ht="15" thickBot="1">
      <c r="A116" s="52" t="s">
        <v>184</v>
      </c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 ht="15" thickBot="1">
      <c r="A117" s="41" t="s">
        <v>226</v>
      </c>
      <c r="B117" s="54">
        <v>172</v>
      </c>
      <c r="C117" s="54">
        <v>148</v>
      </c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 ht="15" thickBot="1">
      <c r="A118" s="52" t="s">
        <v>221</v>
      </c>
      <c r="B118" s="77">
        <v>172</v>
      </c>
      <c r="C118" s="77">
        <v>148</v>
      </c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 ht="15" thickBot="1">
      <c r="A119" s="52" t="s">
        <v>222</v>
      </c>
      <c r="B119" s="77">
        <v>828</v>
      </c>
      <c r="C119" s="77">
        <v>876</v>
      </c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 ht="15" thickBo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 ht="15" thickBo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 ht="15" thickBot="1">
      <c r="A122" s="55"/>
      <c r="B122" s="55"/>
      <c r="C122" s="55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 ht="15" thickBot="1">
      <c r="A123" s="80" t="s">
        <v>230</v>
      </c>
      <c r="B123" s="81"/>
      <c r="C123" s="82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 ht="15" thickBot="1">
      <c r="A124" s="83"/>
      <c r="B124" s="84" t="s">
        <v>160</v>
      </c>
      <c r="C124" s="84" t="s">
        <v>161</v>
      </c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 ht="15" thickBot="1">
      <c r="A125" s="85" t="s">
        <v>40</v>
      </c>
      <c r="B125" s="86">
        <v>45016</v>
      </c>
      <c r="C125" s="86">
        <v>44651</v>
      </c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 ht="15" thickBot="1">
      <c r="A126" s="87" t="s">
        <v>224</v>
      </c>
      <c r="B126" s="88"/>
      <c r="C126" s="88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 ht="15" thickBot="1">
      <c r="A127" s="89" t="s">
        <v>220</v>
      </c>
      <c r="B127" s="88"/>
      <c r="C127" s="88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 ht="15" thickBot="1">
      <c r="A128" s="90" t="s">
        <v>231</v>
      </c>
      <c r="B128" s="91">
        <v>1744</v>
      </c>
      <c r="C128" s="92">
        <v>2076</v>
      </c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 ht="15" thickBot="1">
      <c r="A129" s="90" t="s">
        <v>232</v>
      </c>
      <c r="B129" s="92">
        <v>173</v>
      </c>
      <c r="C129" s="92">
        <v>173</v>
      </c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 ht="15" thickBot="1">
      <c r="A130" s="90" t="s">
        <v>127</v>
      </c>
      <c r="B130" s="92">
        <v>0</v>
      </c>
      <c r="C130" s="92">
        <v>26</v>
      </c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 ht="15" thickBot="1">
      <c r="A131" s="90"/>
      <c r="B131" s="93">
        <v>1917</v>
      </c>
      <c r="C131" s="94">
        <v>2275</v>
      </c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 ht="15" thickBot="1">
      <c r="A132" s="89" t="s">
        <v>214</v>
      </c>
      <c r="B132" s="88"/>
      <c r="C132" s="88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 ht="15" thickBot="1">
      <c r="A133" s="90" t="s">
        <v>231</v>
      </c>
      <c r="B133" s="92">
        <v>83</v>
      </c>
      <c r="C133" s="92">
        <v>80</v>
      </c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 ht="15" thickBot="1">
      <c r="A134" s="90" t="s">
        <v>216</v>
      </c>
      <c r="B134" s="92">
        <v>-83</v>
      </c>
      <c r="C134" s="92">
        <v>-80</v>
      </c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 ht="15" thickBot="1">
      <c r="A135" s="90"/>
      <c r="B135" s="92">
        <v>0</v>
      </c>
      <c r="C135" s="92">
        <v>0</v>
      </c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 ht="15" thickBot="1">
      <c r="A136" s="90" t="s">
        <v>233</v>
      </c>
      <c r="B136" s="92">
        <v>14</v>
      </c>
      <c r="C136" s="92">
        <v>14</v>
      </c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 ht="15" thickBot="1">
      <c r="A137" s="90" t="s">
        <v>216</v>
      </c>
      <c r="B137" s="92">
        <v>-14</v>
      </c>
      <c r="C137" s="92">
        <v>-14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 ht="15" thickBot="1">
      <c r="A138" s="90"/>
      <c r="B138" s="92">
        <v>0</v>
      </c>
      <c r="C138" s="92">
        <v>0</v>
      </c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 ht="15" thickBot="1">
      <c r="A139" s="90" t="s">
        <v>234</v>
      </c>
      <c r="B139" s="92">
        <v>971</v>
      </c>
      <c r="C139" s="92">
        <v>969</v>
      </c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 ht="15" thickBot="1">
      <c r="A140" s="90" t="s">
        <v>216</v>
      </c>
      <c r="B140" s="92">
        <v>-971</v>
      </c>
      <c r="C140" s="92">
        <v>-969</v>
      </c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 ht="15" thickBot="1">
      <c r="A141" s="90"/>
      <c r="B141" s="92">
        <v>0</v>
      </c>
      <c r="C141" s="92">
        <v>0</v>
      </c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 ht="15" thickBot="1">
      <c r="A142" s="90" t="s">
        <v>127</v>
      </c>
      <c r="B142" s="92">
        <v>107</v>
      </c>
      <c r="C142" s="92">
        <v>74</v>
      </c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 ht="15" thickBot="1">
      <c r="A143" s="90" t="s">
        <v>216</v>
      </c>
      <c r="B143" s="92">
        <v>-107</v>
      </c>
      <c r="C143" s="92">
        <v>-74</v>
      </c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 ht="15" thickBot="1">
      <c r="A144" s="95"/>
      <c r="B144" s="96">
        <v>0</v>
      </c>
      <c r="C144" s="96">
        <v>0</v>
      </c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 ht="15" thickBot="1">
      <c r="A145" s="97" t="s">
        <v>217</v>
      </c>
      <c r="B145" s="58">
        <v>1917</v>
      </c>
      <c r="C145" s="96">
        <v>2275</v>
      </c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 ht="15" thickBot="1">
      <c r="A146" s="98" t="s">
        <v>218</v>
      </c>
      <c r="B146" s="88"/>
      <c r="C146" s="88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 ht="15" thickBot="1">
      <c r="A147" s="89" t="s">
        <v>225</v>
      </c>
      <c r="B147" s="88"/>
      <c r="C147" s="88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 ht="15" thickBot="1">
      <c r="A148" s="90" t="s">
        <v>231</v>
      </c>
      <c r="B148" s="92">
        <v>2128</v>
      </c>
      <c r="C148" s="92">
        <v>1881</v>
      </c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 ht="15" thickBot="1">
      <c r="A149" s="90" t="s">
        <v>235</v>
      </c>
      <c r="B149" s="92">
        <v>166</v>
      </c>
      <c r="C149" s="92">
        <v>168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 ht="15" thickBot="1">
      <c r="A150" s="90" t="s">
        <v>233</v>
      </c>
      <c r="B150" s="92">
        <v>3</v>
      </c>
      <c r="C150" s="92">
        <v>3</v>
      </c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 ht="15" thickBot="1">
      <c r="A151" s="90" t="s">
        <v>236</v>
      </c>
      <c r="B151" s="92">
        <v>1969</v>
      </c>
      <c r="C151" s="92">
        <v>3775</v>
      </c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 ht="15" thickBot="1">
      <c r="A152" s="90" t="s">
        <v>234</v>
      </c>
      <c r="B152" s="92">
        <v>1795</v>
      </c>
      <c r="C152" s="92">
        <v>2540</v>
      </c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 ht="15" thickBot="1">
      <c r="A153" s="90" t="s">
        <v>237</v>
      </c>
      <c r="B153" s="92">
        <v>2199</v>
      </c>
      <c r="C153" s="92">
        <v>0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 ht="15" thickBot="1">
      <c r="A154" s="95" t="s">
        <v>127</v>
      </c>
      <c r="B154" s="96">
        <v>14132</v>
      </c>
      <c r="C154" s="96">
        <v>1864</v>
      </c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 ht="15" thickBot="1">
      <c r="A155" s="97" t="s">
        <v>221</v>
      </c>
      <c r="B155" s="96">
        <v>22392</v>
      </c>
      <c r="C155" s="96">
        <v>10231</v>
      </c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 ht="15" thickBot="1">
      <c r="A156" s="97" t="s">
        <v>222</v>
      </c>
      <c r="B156" s="58">
        <v>24309</v>
      </c>
      <c r="C156" s="96">
        <v>12506</v>
      </c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ht="15" thickBo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 ht="28.8" customHeight="1" thickBot="1">
      <c r="A158" s="99" t="s">
        <v>238</v>
      </c>
      <c r="B158" s="100"/>
      <c r="C158" s="10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 ht="15" thickBot="1">
      <c r="A159" s="83"/>
      <c r="B159" s="84" t="s">
        <v>160</v>
      </c>
      <c r="C159" s="84" t="s">
        <v>161</v>
      </c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 ht="15" thickBot="1">
      <c r="A160" s="85" t="s">
        <v>40</v>
      </c>
      <c r="B160" s="86">
        <v>45016</v>
      </c>
      <c r="C160" s="86">
        <v>44651</v>
      </c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 ht="15" thickBot="1">
      <c r="A161" s="90" t="s">
        <v>239</v>
      </c>
      <c r="B161" s="91">
        <v>71159</v>
      </c>
      <c r="C161" s="92">
        <v>83519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 ht="15" thickBot="1">
      <c r="A162" s="90" t="s">
        <v>240</v>
      </c>
      <c r="B162" s="92">
        <v>-20820</v>
      </c>
      <c r="C162" s="92">
        <v>-21449</v>
      </c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 ht="15" thickBot="1">
      <c r="A163" s="95"/>
      <c r="B163" s="70">
        <v>50339</v>
      </c>
      <c r="C163" s="70">
        <v>62070</v>
      </c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 ht="15" thickBot="1">
      <c r="A164" s="55"/>
      <c r="B164" s="55"/>
      <c r="C164" s="55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 ht="15" thickBot="1">
      <c r="A165" s="80" t="s">
        <v>241</v>
      </c>
      <c r="B165" s="81"/>
      <c r="C165" s="82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 ht="15" thickBot="1">
      <c r="A166" s="83"/>
      <c r="B166" s="84" t="s">
        <v>160</v>
      </c>
      <c r="C166" s="84" t="s">
        <v>161</v>
      </c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 ht="15" thickBot="1">
      <c r="A167" s="85" t="s">
        <v>40</v>
      </c>
      <c r="B167" s="86">
        <v>45016</v>
      </c>
      <c r="C167" s="86">
        <v>44651</v>
      </c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 ht="15" thickBot="1">
      <c r="A168" s="102" t="s">
        <v>213</v>
      </c>
      <c r="B168" s="88"/>
      <c r="C168" s="88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 ht="15" thickBot="1">
      <c r="A169" s="88" t="s">
        <v>242</v>
      </c>
      <c r="B169" s="92">
        <v>61317</v>
      </c>
      <c r="C169" s="91">
        <v>49002</v>
      </c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 ht="15" thickBot="1">
      <c r="A170" s="88" t="s">
        <v>243</v>
      </c>
      <c r="B170" s="92">
        <v>67</v>
      </c>
      <c r="C170" s="92">
        <v>64</v>
      </c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 ht="15" thickBot="1">
      <c r="A171" s="88" t="s">
        <v>216</v>
      </c>
      <c r="B171" s="92">
        <v>-60806</v>
      </c>
      <c r="C171" s="92">
        <v>-46419</v>
      </c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 ht="15" thickBot="1">
      <c r="A172" s="88"/>
      <c r="B172" s="94">
        <v>578</v>
      </c>
      <c r="C172" s="93">
        <v>2647</v>
      </c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 ht="15" thickBot="1">
      <c r="A173" s="88" t="s">
        <v>244</v>
      </c>
      <c r="B173" s="92">
        <v>49</v>
      </c>
      <c r="C173" s="92">
        <v>88</v>
      </c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 ht="15" thickBot="1">
      <c r="A174" s="88" t="s">
        <v>216</v>
      </c>
      <c r="B174" s="92">
        <v>-49</v>
      </c>
      <c r="C174" s="92">
        <v>-88</v>
      </c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 ht="15" thickBot="1">
      <c r="A175" s="88"/>
      <c r="B175" s="92">
        <v>0</v>
      </c>
      <c r="C175" s="92">
        <v>0</v>
      </c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 ht="15" thickBot="1">
      <c r="A176" s="88" t="s">
        <v>245</v>
      </c>
      <c r="B176" s="92">
        <v>202</v>
      </c>
      <c r="C176" s="92">
        <v>275</v>
      </c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 ht="15" thickBot="1">
      <c r="A177" s="88" t="s">
        <v>216</v>
      </c>
      <c r="B177" s="92">
        <v>-197</v>
      </c>
      <c r="C177" s="92">
        <v>-246</v>
      </c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 ht="15" thickBot="1">
      <c r="A178" s="88"/>
      <c r="B178" s="94">
        <v>5</v>
      </c>
      <c r="C178" s="94">
        <v>29</v>
      </c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 ht="15" thickBot="1">
      <c r="A179" s="88" t="s">
        <v>246</v>
      </c>
      <c r="B179" s="92">
        <v>62</v>
      </c>
      <c r="C179" s="92">
        <v>127</v>
      </c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 ht="15" thickBot="1">
      <c r="A180" s="88" t="s">
        <v>216</v>
      </c>
      <c r="B180" s="92">
        <v>-58</v>
      </c>
      <c r="C180" s="92">
        <v>-69</v>
      </c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 ht="15" thickBot="1">
      <c r="A181" s="103"/>
      <c r="B181" s="70">
        <v>4</v>
      </c>
      <c r="C181" s="70">
        <v>58</v>
      </c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 ht="15" thickBot="1">
      <c r="A182" s="97" t="s">
        <v>217</v>
      </c>
      <c r="B182" s="70">
        <v>587</v>
      </c>
      <c r="C182" s="68">
        <v>2734</v>
      </c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 ht="15" thickBot="1">
      <c r="A183" s="102" t="s">
        <v>218</v>
      </c>
      <c r="B183" s="88"/>
      <c r="C183" s="88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 ht="15" thickBot="1">
      <c r="A184" s="88" t="s">
        <v>242</v>
      </c>
      <c r="B184" s="92">
        <v>383157</v>
      </c>
      <c r="C184" s="92">
        <v>335495</v>
      </c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 ht="15" thickBot="1">
      <c r="A185" s="88" t="s">
        <v>243</v>
      </c>
      <c r="B185" s="92">
        <v>21557</v>
      </c>
      <c r="C185" s="92">
        <v>21517</v>
      </c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 ht="15" thickBot="1">
      <c r="A186" s="88"/>
      <c r="B186" s="94">
        <v>404714</v>
      </c>
      <c r="C186" s="94">
        <v>357012</v>
      </c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 ht="15" thickBot="1">
      <c r="A187" s="88" t="s">
        <v>247</v>
      </c>
      <c r="B187" s="92">
        <v>193943</v>
      </c>
      <c r="C187" s="92">
        <v>167272</v>
      </c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 ht="15" thickBot="1">
      <c r="A188" s="88"/>
      <c r="B188" s="88"/>
      <c r="C188" s="88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 ht="15" thickBot="1">
      <c r="A189" s="88" t="s">
        <v>248</v>
      </c>
      <c r="B189" s="92">
        <v>11067</v>
      </c>
      <c r="C189" s="92">
        <v>14536</v>
      </c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 ht="15" thickBot="1">
      <c r="A190" s="88" t="s">
        <v>249</v>
      </c>
      <c r="B190" s="92">
        <v>25940</v>
      </c>
      <c r="C190" s="92">
        <v>9712</v>
      </c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 ht="15" thickBot="1">
      <c r="A191" s="88"/>
      <c r="B191" s="94">
        <v>37007</v>
      </c>
      <c r="C191" s="94">
        <v>24248</v>
      </c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 ht="15" thickBot="1">
      <c r="A192" s="88" t="s">
        <v>244</v>
      </c>
      <c r="B192" s="92">
        <v>1225</v>
      </c>
      <c r="C192" s="92">
        <v>1647</v>
      </c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 ht="15" thickBot="1">
      <c r="A193" s="88" t="s">
        <v>250</v>
      </c>
      <c r="B193" s="92">
        <v>0</v>
      </c>
      <c r="C193" s="92">
        <v>5</v>
      </c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 ht="15" thickBot="1">
      <c r="A194" s="88"/>
      <c r="B194" s="94">
        <v>1225</v>
      </c>
      <c r="C194" s="94">
        <v>1652</v>
      </c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 ht="15" thickBot="1">
      <c r="A195" s="88" t="s">
        <v>245</v>
      </c>
      <c r="B195" s="92">
        <v>2237</v>
      </c>
      <c r="C195" s="92">
        <v>2722</v>
      </c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 ht="15" thickBot="1">
      <c r="A196" s="88" t="s">
        <v>251</v>
      </c>
      <c r="B196" s="92">
        <v>25</v>
      </c>
      <c r="C196" s="92">
        <v>0</v>
      </c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 ht="15" thickBot="1">
      <c r="A197" s="88"/>
      <c r="B197" s="94">
        <v>2262</v>
      </c>
      <c r="C197" s="94">
        <v>2722</v>
      </c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 ht="15" thickBot="1">
      <c r="A198" s="88" t="s">
        <v>246</v>
      </c>
      <c r="B198" s="92">
        <v>916</v>
      </c>
      <c r="C198" s="92">
        <v>814</v>
      </c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 ht="15" thickBot="1">
      <c r="A199" s="88"/>
      <c r="B199" s="94">
        <v>916</v>
      </c>
      <c r="C199" s="94">
        <v>814</v>
      </c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 ht="15" thickBot="1">
      <c r="A200" s="88" t="s">
        <v>252</v>
      </c>
      <c r="B200" s="92">
        <v>551</v>
      </c>
      <c r="C200" s="92">
        <v>236</v>
      </c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 ht="15" thickBot="1">
      <c r="A201" s="103"/>
      <c r="B201" s="70">
        <v>551</v>
      </c>
      <c r="C201" s="70">
        <v>236</v>
      </c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 ht="15" thickBot="1">
      <c r="A202" s="97" t="s">
        <v>221</v>
      </c>
      <c r="B202" s="70">
        <v>640618</v>
      </c>
      <c r="C202" s="70">
        <v>553956</v>
      </c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 ht="15" thickBot="1">
      <c r="A203" s="97" t="s">
        <v>222</v>
      </c>
      <c r="B203" s="70">
        <v>641205</v>
      </c>
      <c r="C203" s="68">
        <v>556690</v>
      </c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 ht="15" thickBot="1">
      <c r="A204" s="55"/>
      <c r="B204" s="55"/>
      <c r="C204" s="55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 ht="15" thickBot="1">
      <c r="A205" s="80" t="s">
        <v>253</v>
      </c>
      <c r="B205" s="81"/>
      <c r="C205" s="82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 ht="15" thickBot="1">
      <c r="A206" s="83"/>
      <c r="B206" s="84" t="s">
        <v>160</v>
      </c>
      <c r="C206" s="84" t="s">
        <v>161</v>
      </c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 ht="15" thickBot="1">
      <c r="A207" s="85" t="s">
        <v>40</v>
      </c>
      <c r="B207" s="86">
        <v>45016</v>
      </c>
      <c r="C207" s="86">
        <v>44651</v>
      </c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 ht="15" thickBot="1">
      <c r="A208" s="89" t="s">
        <v>213</v>
      </c>
      <c r="B208" s="88"/>
      <c r="C208" s="88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 ht="15" thickBot="1">
      <c r="A209" s="90" t="s">
        <v>254</v>
      </c>
      <c r="B209" s="92">
        <v>2280</v>
      </c>
      <c r="C209" s="92">
        <v>2576</v>
      </c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 ht="15" thickBot="1">
      <c r="A210" s="90"/>
      <c r="B210" s="94">
        <v>2280</v>
      </c>
      <c r="C210" s="94">
        <v>2576</v>
      </c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 ht="15" thickBot="1">
      <c r="A211" s="89" t="s">
        <v>255</v>
      </c>
      <c r="B211" s="88"/>
      <c r="C211" s="88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 ht="15" thickBot="1">
      <c r="A212" s="90" t="s">
        <v>256</v>
      </c>
      <c r="B212" s="92">
        <v>2754</v>
      </c>
      <c r="C212" s="92">
        <v>2742</v>
      </c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 ht="15" thickBot="1">
      <c r="A213" s="90" t="s">
        <v>216</v>
      </c>
      <c r="B213" s="92">
        <v>-2754</v>
      </c>
      <c r="C213" s="92">
        <v>-2742</v>
      </c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 ht="15" thickBot="1">
      <c r="A214" s="90"/>
      <c r="B214" s="92">
        <v>0</v>
      </c>
      <c r="C214" s="92">
        <v>0</v>
      </c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 ht="15" thickBot="1">
      <c r="A215" s="90" t="s">
        <v>257</v>
      </c>
      <c r="B215" s="92">
        <v>21870</v>
      </c>
      <c r="C215" s="92">
        <v>15282</v>
      </c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 ht="15" thickBot="1">
      <c r="A216" s="90" t="s">
        <v>216</v>
      </c>
      <c r="B216" s="92">
        <v>-21870</v>
      </c>
      <c r="C216" s="92">
        <v>-15282</v>
      </c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 ht="15" thickBot="1">
      <c r="A217" s="90"/>
      <c r="B217" s="92">
        <v>0</v>
      </c>
      <c r="C217" s="92">
        <v>0</v>
      </c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 ht="15" thickBot="1">
      <c r="A218" s="89" t="s">
        <v>184</v>
      </c>
      <c r="B218" s="88"/>
      <c r="C218" s="88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 ht="15" thickBot="1">
      <c r="A219" s="90" t="s">
        <v>258</v>
      </c>
      <c r="B219" s="92">
        <v>458</v>
      </c>
      <c r="C219" s="92">
        <v>497</v>
      </c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 ht="15" thickBot="1">
      <c r="A220" s="90" t="s">
        <v>216</v>
      </c>
      <c r="B220" s="92">
        <v>-384</v>
      </c>
      <c r="C220" s="92">
        <v>-424</v>
      </c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 ht="15" thickBot="1">
      <c r="A221" s="90"/>
      <c r="B221" s="94">
        <v>74</v>
      </c>
      <c r="C221" s="94">
        <v>73</v>
      </c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26" ht="15" thickBot="1">
      <c r="A222" s="90" t="s">
        <v>259</v>
      </c>
      <c r="B222" s="92">
        <v>220</v>
      </c>
      <c r="C222" s="92">
        <v>504</v>
      </c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26" ht="15" thickBot="1">
      <c r="A223" s="90" t="s">
        <v>260</v>
      </c>
      <c r="B223" s="92">
        <v>1152</v>
      </c>
      <c r="C223" s="92">
        <v>1102</v>
      </c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26" ht="15" thickBot="1">
      <c r="A224" s="90" t="s">
        <v>216</v>
      </c>
      <c r="B224" s="92">
        <v>-1152</v>
      </c>
      <c r="C224" s="92">
        <v>-1102</v>
      </c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 ht="15" thickBot="1">
      <c r="A225" s="90"/>
      <c r="B225" s="92">
        <v>0</v>
      </c>
      <c r="C225" s="92">
        <v>0</v>
      </c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 ht="15" thickBot="1">
      <c r="A226" s="90" t="s">
        <v>261</v>
      </c>
      <c r="B226" s="92">
        <v>45441</v>
      </c>
      <c r="C226" s="92">
        <v>64631</v>
      </c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 ht="15" thickBot="1">
      <c r="A227" s="90" t="s">
        <v>216</v>
      </c>
      <c r="B227" s="92">
        <v>-4180</v>
      </c>
      <c r="C227" s="92">
        <v>0</v>
      </c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spans="1:26" ht="15" thickBot="1">
      <c r="A228" s="90"/>
      <c r="B228" s="94">
        <v>41261</v>
      </c>
      <c r="C228" s="94">
        <v>64631</v>
      </c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spans="1:26" ht="15" thickBot="1">
      <c r="A229" s="90" t="s">
        <v>262</v>
      </c>
      <c r="B229" s="92">
        <v>19</v>
      </c>
      <c r="C229" s="92">
        <v>19</v>
      </c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spans="1:26" ht="15" thickBot="1">
      <c r="A230" s="90" t="s">
        <v>216</v>
      </c>
      <c r="B230" s="92">
        <v>-19</v>
      </c>
      <c r="C230" s="92">
        <v>-19</v>
      </c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spans="1:26" ht="15" thickBot="1">
      <c r="A231" s="95"/>
      <c r="B231" s="96">
        <v>0</v>
      </c>
      <c r="C231" s="96">
        <v>0</v>
      </c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spans="1:26" ht="15" thickBot="1">
      <c r="A232" s="97" t="s">
        <v>217</v>
      </c>
      <c r="B232" s="70">
        <v>43835</v>
      </c>
      <c r="C232" s="70">
        <v>67784</v>
      </c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spans="1:26" ht="15" thickBot="1">
      <c r="A233" s="89" t="s">
        <v>218</v>
      </c>
      <c r="B233" s="88"/>
      <c r="C233" s="88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spans="1:26" ht="15" thickBot="1">
      <c r="A234" s="89" t="s">
        <v>255</v>
      </c>
      <c r="B234" s="88"/>
      <c r="C234" s="88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spans="1:26" ht="15" thickBot="1">
      <c r="A235" s="90" t="s">
        <v>263</v>
      </c>
      <c r="B235" s="92">
        <v>677</v>
      </c>
      <c r="C235" s="92">
        <v>781</v>
      </c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spans="1:26" ht="15" thickBot="1">
      <c r="A236" s="90" t="s">
        <v>256</v>
      </c>
      <c r="B236" s="92">
        <v>102783</v>
      </c>
      <c r="C236" s="92">
        <v>141295</v>
      </c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spans="1:26" ht="15" thickBot="1">
      <c r="A237" s="90" t="s">
        <v>257</v>
      </c>
      <c r="B237" s="92">
        <v>609644</v>
      </c>
      <c r="C237" s="92">
        <v>567036</v>
      </c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spans="1:26" ht="15" thickBot="1">
      <c r="A238" s="89" t="s">
        <v>184</v>
      </c>
      <c r="B238" s="88"/>
      <c r="C238" s="88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spans="1:26" ht="15" thickBot="1">
      <c r="A239" s="90" t="s">
        <v>258</v>
      </c>
      <c r="B239" s="92">
        <v>33241</v>
      </c>
      <c r="C239" s="92">
        <v>35826</v>
      </c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spans="1:26" ht="15" thickBot="1">
      <c r="A240" s="90" t="s">
        <v>259</v>
      </c>
      <c r="B240" s="92">
        <v>1073</v>
      </c>
      <c r="C240" s="92">
        <v>5348</v>
      </c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spans="1:26" ht="15" thickBot="1">
      <c r="A241" s="90" t="s">
        <v>264</v>
      </c>
      <c r="B241" s="92">
        <v>10346</v>
      </c>
      <c r="C241" s="92">
        <v>6178</v>
      </c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spans="1:26" ht="15" thickBot="1">
      <c r="A242" s="90" t="s">
        <v>260</v>
      </c>
      <c r="B242" s="92">
        <v>3287</v>
      </c>
      <c r="C242" s="92">
        <v>2370</v>
      </c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spans="1:26" ht="15" thickBot="1">
      <c r="A243" s="90" t="s">
        <v>265</v>
      </c>
      <c r="B243" s="92">
        <v>19777</v>
      </c>
      <c r="C243" s="92">
        <v>16760</v>
      </c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spans="1:26" ht="15" thickBot="1">
      <c r="A244" s="95" t="s">
        <v>262</v>
      </c>
      <c r="B244" s="96">
        <v>3061</v>
      </c>
      <c r="C244" s="96">
        <v>1209</v>
      </c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spans="1:26" ht="15" thickBot="1">
      <c r="A245" s="97" t="s">
        <v>221</v>
      </c>
      <c r="B245" s="70">
        <v>783889</v>
      </c>
      <c r="C245" s="70">
        <v>776803</v>
      </c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spans="1:26" ht="15" thickBot="1">
      <c r="A246" s="97" t="s">
        <v>222</v>
      </c>
      <c r="B246" s="70">
        <v>827724</v>
      </c>
      <c r="C246" s="70">
        <v>844587</v>
      </c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spans="1:26" ht="15" thickBo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spans="1:26" ht="15" thickBo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spans="1:26" ht="15" thickBo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spans="1:26" ht="15" thickBot="1">
      <c r="A250" s="104" t="s">
        <v>266</v>
      </c>
      <c r="B250" s="55"/>
      <c r="C250" s="55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spans="1:26" ht="15" thickBot="1">
      <c r="A251" s="105" t="s">
        <v>40</v>
      </c>
      <c r="B251" s="106" t="s">
        <v>162</v>
      </c>
      <c r="C251" s="107" t="s">
        <v>163</v>
      </c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spans="1:26" ht="15" thickBot="1">
      <c r="A252" s="108" t="s">
        <v>267</v>
      </c>
      <c r="B252" s="53">
        <v>83717</v>
      </c>
      <c r="C252" s="91">
        <v>38403</v>
      </c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spans="1:26" ht="15" thickBot="1">
      <c r="A253" s="108" t="s">
        <v>268</v>
      </c>
      <c r="B253" s="54">
        <v>1</v>
      </c>
      <c r="C253" s="92">
        <v>1</v>
      </c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spans="1:26" ht="15" thickBot="1">
      <c r="A254" s="66" t="s">
        <v>269</v>
      </c>
      <c r="B254" s="56">
        <v>302700</v>
      </c>
      <c r="C254" s="58">
        <v>85500</v>
      </c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spans="1:26" ht="15" thickBot="1">
      <c r="A255" s="66"/>
      <c r="B255" s="67">
        <v>386418</v>
      </c>
      <c r="C255" s="68">
        <v>123904</v>
      </c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spans="1:26" ht="15" thickBo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spans="1:26" ht="15" thickBot="1">
      <c r="A257" s="104" t="s">
        <v>270</v>
      </c>
      <c r="B257" s="55"/>
      <c r="C257" s="55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spans="1:26" ht="15" thickBot="1">
      <c r="A258" s="109" t="s">
        <v>40</v>
      </c>
      <c r="B258" s="64" t="s">
        <v>162</v>
      </c>
      <c r="C258" s="64" t="s">
        <v>163</v>
      </c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spans="1:26" ht="15" thickBot="1">
      <c r="A259" s="108" t="s">
        <v>271</v>
      </c>
      <c r="B259" s="54">
        <v>412509</v>
      </c>
      <c r="C259" s="92">
        <v>624300</v>
      </c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spans="1:26" ht="15" thickBot="1">
      <c r="A260" s="66" t="s">
        <v>272</v>
      </c>
      <c r="B260" s="56">
        <v>1973</v>
      </c>
      <c r="C260" s="58">
        <v>1710</v>
      </c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spans="1:26" ht="15" thickBot="1">
      <c r="A261" s="66"/>
      <c r="B261" s="56">
        <v>414482</v>
      </c>
      <c r="C261" s="58">
        <v>626010</v>
      </c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spans="1:26" ht="15" thickBo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spans="1:26" ht="15" thickBot="1">
      <c r="A263" s="104" t="s">
        <v>273</v>
      </c>
      <c r="B263" s="55"/>
      <c r="C263" s="55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spans="1:26" ht="15" thickBot="1">
      <c r="A264" s="109" t="s">
        <v>40</v>
      </c>
      <c r="B264" s="64" t="s">
        <v>162</v>
      </c>
      <c r="C264" s="64" t="s">
        <v>163</v>
      </c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spans="1:26" ht="15" thickBot="1">
      <c r="A265" s="108" t="s">
        <v>274</v>
      </c>
      <c r="B265" s="41"/>
      <c r="C265" s="88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spans="1:26" ht="15" thickBot="1">
      <c r="A266" s="108" t="s">
        <v>275</v>
      </c>
      <c r="B266" s="53">
        <v>40156</v>
      </c>
      <c r="C266" s="91">
        <v>14325</v>
      </c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spans="1:26" ht="15" thickBot="1">
      <c r="A267" s="108"/>
      <c r="B267" s="74">
        <v>40156</v>
      </c>
      <c r="C267" s="93">
        <v>14325</v>
      </c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 ht="15" thickBot="1">
      <c r="A268" s="108" t="s">
        <v>276</v>
      </c>
      <c r="B268" s="41"/>
      <c r="C268" s="88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 ht="15" thickBot="1">
      <c r="A269" s="108" t="s">
        <v>277</v>
      </c>
      <c r="B269" s="41" t="s">
        <v>35</v>
      </c>
      <c r="C269" s="88" t="s">
        <v>35</v>
      </c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 ht="15" thickBot="1">
      <c r="A270" s="66"/>
      <c r="B270" s="55" t="s">
        <v>35</v>
      </c>
      <c r="C270" s="103" t="s">
        <v>35</v>
      </c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 ht="15" thickBot="1">
      <c r="A271" s="71" t="s">
        <v>278</v>
      </c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 ht="15" thickBot="1">
      <c r="A272" s="110" t="s">
        <v>279</v>
      </c>
      <c r="B272" s="55"/>
      <c r="C272" s="55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 ht="15" thickBot="1">
      <c r="A273" s="109" t="s">
        <v>40</v>
      </c>
      <c r="B273" s="64" t="s">
        <v>162</v>
      </c>
      <c r="C273" s="64" t="s">
        <v>163</v>
      </c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 ht="15" thickBot="1">
      <c r="A274" s="111" t="s">
        <v>280</v>
      </c>
      <c r="B274" s="41"/>
      <c r="C274" s="88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 ht="15" thickBot="1">
      <c r="A275" s="108" t="s">
        <v>281</v>
      </c>
      <c r="B275" s="53">
        <v>75000</v>
      </c>
      <c r="C275" s="91">
        <v>25000</v>
      </c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 ht="15" thickBot="1">
      <c r="A276" s="111" t="s">
        <v>282</v>
      </c>
      <c r="B276" s="41"/>
      <c r="C276" s="88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 ht="15" thickBot="1">
      <c r="A277" s="66" t="s">
        <v>283</v>
      </c>
      <c r="B277" s="56">
        <v>73098</v>
      </c>
      <c r="C277" s="58">
        <v>24366</v>
      </c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 ht="15" thickBo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 ht="15" thickBo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 ht="15" thickBot="1">
      <c r="A280" s="112" t="s">
        <v>284</v>
      </c>
      <c r="B280" s="113"/>
      <c r="C280" s="114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 ht="15" thickBot="1">
      <c r="A281" s="115"/>
      <c r="B281" s="116" t="s">
        <v>160</v>
      </c>
      <c r="C281" s="116" t="s">
        <v>161</v>
      </c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 ht="15" thickBot="1">
      <c r="A282" s="117" t="s">
        <v>40</v>
      </c>
      <c r="B282" s="118">
        <v>45016</v>
      </c>
      <c r="C282" s="118">
        <v>44651</v>
      </c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spans="1:26" ht="15" thickBot="1">
      <c r="A283" s="119" t="s">
        <v>285</v>
      </c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spans="1:26" ht="15" thickBot="1">
      <c r="A284" s="41" t="s">
        <v>286</v>
      </c>
      <c r="B284" s="120">
        <v>6019</v>
      </c>
      <c r="C284" s="120">
        <v>6152</v>
      </c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spans="1:26" ht="15" thickBot="1">
      <c r="A285" s="119" t="s">
        <v>287</v>
      </c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spans="1:26" ht="15" thickBot="1">
      <c r="A286" s="41" t="s">
        <v>288</v>
      </c>
      <c r="B286" s="121">
        <v>336</v>
      </c>
      <c r="C286" s="121">
        <v>339</v>
      </c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spans="1:26" ht="15" thickBot="1">
      <c r="A287" s="119" t="s">
        <v>222</v>
      </c>
      <c r="B287" s="122">
        <v>6355</v>
      </c>
      <c r="C287" s="122">
        <v>6491</v>
      </c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spans="1:26" ht="15" thickBo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spans="1:26" ht="15" thickBo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spans="1:26" ht="15" thickBot="1">
      <c r="A290" s="112" t="s">
        <v>289</v>
      </c>
      <c r="B290" s="113"/>
      <c r="C290" s="114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spans="1:26" ht="15" thickBot="1">
      <c r="A291" s="115"/>
      <c r="B291" s="116" t="s">
        <v>160</v>
      </c>
      <c r="C291" s="116" t="s">
        <v>161</v>
      </c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spans="1:26" ht="15" thickBot="1">
      <c r="A292" s="117" t="s">
        <v>40</v>
      </c>
      <c r="B292" s="118">
        <v>45016</v>
      </c>
      <c r="C292" s="118">
        <v>44651</v>
      </c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spans="1:26" ht="15" thickBot="1">
      <c r="A293" s="119" t="s">
        <v>285</v>
      </c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spans="1:26" ht="15" thickBot="1">
      <c r="A294" s="52" t="s">
        <v>290</v>
      </c>
      <c r="B294" s="73"/>
      <c r="C294" s="73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spans="1:26" ht="15" thickBot="1">
      <c r="A295" s="41" t="s">
        <v>291</v>
      </c>
      <c r="B295" s="123" t="s">
        <v>35</v>
      </c>
      <c r="C295" s="123" t="s">
        <v>35</v>
      </c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spans="1:26" ht="15" thickBot="1">
      <c r="A296" s="119" t="s">
        <v>287</v>
      </c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spans="1:26" ht="15" thickBot="1">
      <c r="A297" s="52" t="s">
        <v>290</v>
      </c>
      <c r="B297" s="124" t="s">
        <v>35</v>
      </c>
      <c r="C297" s="124" t="s">
        <v>35</v>
      </c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spans="1:26" ht="15" thickBot="1">
      <c r="A298" s="41" t="s">
        <v>291</v>
      </c>
      <c r="B298" s="55"/>
      <c r="C298" s="55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spans="1:26" ht="15" thickBot="1">
      <c r="A299" s="41"/>
      <c r="B299" s="125" t="s">
        <v>35</v>
      </c>
      <c r="C299" s="125" t="s">
        <v>35</v>
      </c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spans="1:26" ht="15" thickBo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spans="1:26" ht="15" thickBot="1">
      <c r="A301" s="112" t="s">
        <v>292</v>
      </c>
      <c r="B301" s="113"/>
      <c r="C301" s="114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spans="1:26" ht="15" thickBot="1">
      <c r="A302" s="115"/>
      <c r="B302" s="116" t="s">
        <v>160</v>
      </c>
      <c r="C302" s="116" t="s">
        <v>161</v>
      </c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spans="1:26" ht="15" thickBot="1">
      <c r="A303" s="117" t="s">
        <v>40</v>
      </c>
      <c r="B303" s="118">
        <v>45016</v>
      </c>
      <c r="C303" s="118">
        <v>44651</v>
      </c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spans="1:26" ht="15" thickBot="1">
      <c r="A304" s="119" t="s">
        <v>285</v>
      </c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spans="1:26" ht="15" thickBot="1">
      <c r="A305" s="41" t="s">
        <v>184</v>
      </c>
      <c r="B305" s="123">
        <v>37</v>
      </c>
      <c r="C305" s="123">
        <v>34</v>
      </c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spans="1:26" ht="15" thickBot="1">
      <c r="A306" s="52" t="s">
        <v>217</v>
      </c>
      <c r="B306" s="126">
        <v>37</v>
      </c>
      <c r="C306" s="126">
        <v>34</v>
      </c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spans="1:26" ht="15" thickBot="1">
      <c r="A307" s="119" t="s">
        <v>287</v>
      </c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 ht="15" thickBot="1">
      <c r="A308" s="41" t="s">
        <v>293</v>
      </c>
      <c r="B308" s="124">
        <v>20713</v>
      </c>
      <c r="C308" s="124">
        <v>24795</v>
      </c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 ht="15" thickBot="1">
      <c r="A309" s="41" t="s">
        <v>184</v>
      </c>
      <c r="B309" s="124">
        <v>311253</v>
      </c>
      <c r="C309" s="124">
        <v>311801</v>
      </c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 ht="15" thickBot="1">
      <c r="A310" s="52" t="s">
        <v>221</v>
      </c>
      <c r="B310" s="125">
        <v>331966</v>
      </c>
      <c r="C310" s="125">
        <v>336596</v>
      </c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 ht="15" thickBot="1">
      <c r="A311" s="52" t="s">
        <v>222</v>
      </c>
      <c r="B311" s="125">
        <v>332003</v>
      </c>
      <c r="C311" s="125">
        <v>336630</v>
      </c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 ht="15" thickBo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 ht="28.8" customHeight="1" thickBot="1">
      <c r="A313" s="112" t="s">
        <v>294</v>
      </c>
      <c r="B313" s="113"/>
      <c r="C313" s="114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 ht="15" thickBot="1">
      <c r="A314" s="115"/>
      <c r="B314" s="116" t="s">
        <v>160</v>
      </c>
      <c r="C314" s="116" t="s">
        <v>161</v>
      </c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 ht="15" thickBot="1">
      <c r="A315" s="117" t="s">
        <v>40</v>
      </c>
      <c r="B315" s="118">
        <v>45016</v>
      </c>
      <c r="C315" s="118">
        <v>44651</v>
      </c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 ht="15" thickBot="1">
      <c r="A316" s="119" t="s">
        <v>285</v>
      </c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 ht="15" thickBot="1">
      <c r="A317" s="41" t="s">
        <v>231</v>
      </c>
      <c r="B317" s="124">
        <v>473</v>
      </c>
      <c r="C317" s="124">
        <v>2022</v>
      </c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 ht="15" thickBot="1">
      <c r="A318" s="52" t="s">
        <v>217</v>
      </c>
      <c r="B318" s="126">
        <v>473</v>
      </c>
      <c r="C318" s="126">
        <v>2022</v>
      </c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 ht="15" thickBot="1">
      <c r="A319" s="119" t="s">
        <v>287</v>
      </c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 ht="18.600000000000001" thickBot="1">
      <c r="A320" s="127" t="s">
        <v>231</v>
      </c>
      <c r="B320" s="128">
        <v>38972</v>
      </c>
      <c r="C320" s="128">
        <v>28476</v>
      </c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26" ht="18.600000000000001" thickBot="1">
      <c r="A321" s="127" t="s">
        <v>295</v>
      </c>
      <c r="B321" s="124">
        <v>5</v>
      </c>
      <c r="C321" s="124">
        <v>14</v>
      </c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spans="1:26" ht="18.600000000000001" thickBot="1">
      <c r="A322" s="127" t="s">
        <v>296</v>
      </c>
      <c r="B322" s="124">
        <v>14697</v>
      </c>
      <c r="C322" s="124">
        <v>8745</v>
      </c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spans="1:26" ht="18.600000000000001" thickBot="1">
      <c r="A323" s="127" t="s">
        <v>297</v>
      </c>
      <c r="B323" s="124">
        <v>37</v>
      </c>
      <c r="C323" s="124">
        <v>37</v>
      </c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spans="1:26" ht="18.600000000000001" thickBot="1">
      <c r="A324" s="127" t="s">
        <v>298</v>
      </c>
      <c r="B324" s="124">
        <v>246</v>
      </c>
      <c r="C324" s="124">
        <v>215</v>
      </c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spans="1:26" ht="18.600000000000001" thickBot="1">
      <c r="A325" s="127" t="s">
        <v>299</v>
      </c>
      <c r="B325" s="124">
        <v>631</v>
      </c>
      <c r="C325" s="124">
        <v>337</v>
      </c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spans="1:26" ht="18.600000000000001" thickBot="1">
      <c r="A326" s="127" t="s">
        <v>300</v>
      </c>
      <c r="B326" s="124">
        <v>70953</v>
      </c>
      <c r="C326" s="124">
        <v>56912</v>
      </c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spans="1:26" ht="18.600000000000001" thickBot="1">
      <c r="A327" s="127" t="s">
        <v>131</v>
      </c>
      <c r="B327" s="124">
        <v>1465</v>
      </c>
      <c r="C327" s="124">
        <v>1000</v>
      </c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spans="1:26" ht="15" thickBot="1">
      <c r="A328" s="52" t="s">
        <v>221</v>
      </c>
      <c r="B328" s="122">
        <v>127006</v>
      </c>
      <c r="C328" s="122">
        <v>95736</v>
      </c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spans="1:26" ht="15" thickBot="1">
      <c r="A329" s="52" t="s">
        <v>222</v>
      </c>
      <c r="B329" s="125">
        <v>127479</v>
      </c>
      <c r="C329" s="125">
        <v>97758</v>
      </c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spans="1:26" ht="15" thickBo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spans="1:26" ht="15" thickBo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spans="1:26" ht="15" thickBo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spans="1:26" ht="15" thickBo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spans="1:26" ht="15" thickBo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spans="1:26" ht="15" thickBo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spans="1:26" ht="15" thickBo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spans="1:26" ht="15" thickBo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spans="1:26" ht="15" thickBo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spans="1:26" ht="15" thickBo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spans="1:26" ht="15" thickBo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spans="1:26" ht="15" thickBo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spans="1:26" ht="15" thickBot="1">
      <c r="A342" s="129" t="s">
        <v>301</v>
      </c>
      <c r="B342" s="130"/>
      <c r="C342" s="13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spans="1:26" ht="15" thickBot="1">
      <c r="A343" s="95" t="s">
        <v>40</v>
      </c>
      <c r="B343" s="103" t="s">
        <v>162</v>
      </c>
      <c r="C343" s="103" t="s">
        <v>163</v>
      </c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spans="1:26" ht="15" thickBot="1">
      <c r="A344" s="89" t="s">
        <v>213</v>
      </c>
      <c r="B344" s="88"/>
      <c r="C344" s="88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spans="1:26" ht="15" thickBot="1">
      <c r="A345" s="90" t="s">
        <v>302</v>
      </c>
      <c r="B345" s="88"/>
      <c r="C345" s="88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spans="1:26" ht="16.2" thickBot="1">
      <c r="A346" s="90" t="s">
        <v>303</v>
      </c>
      <c r="B346" s="132">
        <v>40955</v>
      </c>
      <c r="C346" s="133">
        <v>37444</v>
      </c>
      <c r="D346" s="134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spans="1:26" ht="16.2" thickBot="1">
      <c r="A347" s="90" t="s">
        <v>304</v>
      </c>
      <c r="B347" s="135">
        <v>0</v>
      </c>
      <c r="C347" s="133">
        <v>106186</v>
      </c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spans="1:26" ht="16.2" thickBot="1">
      <c r="A348" s="90" t="s">
        <v>305</v>
      </c>
      <c r="B348" s="132">
        <v>2563</v>
      </c>
      <c r="C348" s="135">
        <v>0</v>
      </c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spans="1:26" ht="15" thickBot="1">
      <c r="A349" s="89" t="s">
        <v>184</v>
      </c>
      <c r="B349" s="88"/>
      <c r="C349" s="88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spans="1:26" ht="16.2" thickBot="1">
      <c r="A350" s="90" t="s">
        <v>306</v>
      </c>
      <c r="B350" s="135">
        <v>614</v>
      </c>
      <c r="C350" s="136">
        <v>628</v>
      </c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spans="1:26" ht="16.2" thickBot="1">
      <c r="A351" s="90" t="s">
        <v>307</v>
      </c>
      <c r="B351" s="132">
        <v>37357</v>
      </c>
      <c r="C351" s="133">
        <v>33377</v>
      </c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spans="1:26" ht="16.2" thickBot="1">
      <c r="A352" s="95" t="s">
        <v>308</v>
      </c>
      <c r="B352" s="137">
        <v>2408</v>
      </c>
      <c r="C352" s="138">
        <v>2371</v>
      </c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spans="1:26" ht="16.2" thickBot="1">
      <c r="A353" s="90" t="s">
        <v>217</v>
      </c>
      <c r="B353" s="132">
        <v>83897</v>
      </c>
      <c r="C353" s="133">
        <v>180006</v>
      </c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spans="1:26" ht="15" thickBot="1">
      <c r="A354" s="90"/>
      <c r="B354" s="88"/>
      <c r="C354" s="88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spans="1:26" ht="15" thickBot="1">
      <c r="A355" s="89" t="s">
        <v>218</v>
      </c>
      <c r="B355" s="88"/>
      <c r="C355" s="88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spans="1:26" ht="16.2" thickBot="1">
      <c r="A356" s="90" t="s">
        <v>302</v>
      </c>
      <c r="B356" s="135">
        <v>274</v>
      </c>
      <c r="C356" s="133">
        <v>-2210</v>
      </c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spans="1:26" ht="16.2" thickBot="1">
      <c r="A357" s="90" t="s">
        <v>309</v>
      </c>
      <c r="B357" s="132">
        <v>5487</v>
      </c>
      <c r="C357" s="133">
        <v>3972</v>
      </c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spans="1:26" ht="16.2" thickBot="1">
      <c r="A358" s="90" t="s">
        <v>304</v>
      </c>
      <c r="B358" s="132">
        <v>25381</v>
      </c>
      <c r="C358" s="139">
        <v>10308</v>
      </c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spans="1:26" ht="16.2" thickBot="1">
      <c r="A359" s="90" t="s">
        <v>305</v>
      </c>
      <c r="B359" s="135">
        <v>258</v>
      </c>
      <c r="C359" s="135" t="s">
        <v>35</v>
      </c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spans="1:26" ht="15" thickBot="1">
      <c r="A360" s="89" t="s">
        <v>184</v>
      </c>
      <c r="B360" s="88"/>
      <c r="C360" s="88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spans="1:26" ht="16.2" thickBot="1">
      <c r="A361" s="90" t="s">
        <v>307</v>
      </c>
      <c r="B361" s="132">
        <v>25883</v>
      </c>
      <c r="C361" s="133">
        <v>26320</v>
      </c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spans="1:26" ht="16.2" thickBot="1">
      <c r="A362" s="95" t="s">
        <v>306</v>
      </c>
      <c r="B362" s="137">
        <v>5032</v>
      </c>
      <c r="C362" s="138">
        <v>3173</v>
      </c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spans="1:26" ht="16.2" thickBot="1">
      <c r="A363" s="90" t="s">
        <v>221</v>
      </c>
      <c r="B363" s="132">
        <v>62315</v>
      </c>
      <c r="C363" s="133">
        <v>41563</v>
      </c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spans="1:26" ht="16.2" thickBot="1">
      <c r="A364" s="95"/>
      <c r="B364" s="140"/>
      <c r="C364" s="103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spans="1:26" ht="16.2" thickBot="1">
      <c r="A365" s="95" t="s">
        <v>222</v>
      </c>
      <c r="B365" s="141">
        <v>146212</v>
      </c>
      <c r="C365" s="141">
        <v>221569</v>
      </c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spans="1:26" ht="15" thickBo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spans="1:26" ht="26.4" customHeight="1" thickBot="1">
      <c r="A367" s="129" t="s">
        <v>310</v>
      </c>
      <c r="B367" s="130"/>
      <c r="C367" s="13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spans="1:26" ht="15" thickBot="1">
      <c r="A368" s="95" t="s">
        <v>40</v>
      </c>
      <c r="B368" s="103" t="s">
        <v>162</v>
      </c>
      <c r="C368" s="103" t="s">
        <v>163</v>
      </c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spans="1:26" ht="15" thickBot="1">
      <c r="A369" s="89" t="s">
        <v>224</v>
      </c>
      <c r="B369" s="88"/>
      <c r="C369" s="88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spans="1:26" ht="16.2" thickBot="1">
      <c r="A370" s="95" t="s">
        <v>311</v>
      </c>
      <c r="B370" s="140">
        <v>0</v>
      </c>
      <c r="C370" s="140">
        <v>0</v>
      </c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spans="1:26" ht="16.2" thickBot="1">
      <c r="A371" s="90" t="s">
        <v>217</v>
      </c>
      <c r="B371" s="135">
        <v>0</v>
      </c>
      <c r="C371" s="135">
        <v>0</v>
      </c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spans="1:26" ht="15" thickBot="1">
      <c r="A372" s="90"/>
      <c r="B372" s="88"/>
      <c r="C372" s="88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spans="1:26" ht="15" thickBot="1">
      <c r="A373" s="89" t="s">
        <v>218</v>
      </c>
      <c r="B373" s="88"/>
      <c r="C373" s="88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spans="1:26" ht="15" thickBot="1">
      <c r="A374" s="90" t="s">
        <v>312</v>
      </c>
      <c r="B374" s="88"/>
      <c r="C374" s="88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spans="1:26" ht="16.2" thickBot="1">
      <c r="A375" s="90" t="s">
        <v>313</v>
      </c>
      <c r="B375" s="142">
        <v>14672</v>
      </c>
      <c r="C375" s="143">
        <v>7173</v>
      </c>
      <c r="D375" s="73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spans="1:26" ht="16.2" thickBot="1">
      <c r="A376" s="90" t="s">
        <v>314</v>
      </c>
      <c r="B376" s="142">
        <v>1481740</v>
      </c>
      <c r="C376" s="142">
        <v>1448782</v>
      </c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spans="1:26" ht="16.2" thickBot="1">
      <c r="A377" s="90" t="s">
        <v>315</v>
      </c>
      <c r="B377" s="142">
        <v>26772</v>
      </c>
      <c r="C377" s="143">
        <v>17625</v>
      </c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spans="1:26" ht="16.2" thickBot="1">
      <c r="A378" s="95" t="s">
        <v>184</v>
      </c>
      <c r="B378" s="144">
        <v>5882</v>
      </c>
      <c r="C378" s="145">
        <v>5270</v>
      </c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spans="1:26" ht="16.2" thickBot="1">
      <c r="A379" s="90" t="s">
        <v>221</v>
      </c>
      <c r="B379" s="135">
        <v>1529066</v>
      </c>
      <c r="C379" s="146">
        <v>1478850</v>
      </c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spans="1:26" ht="15" thickBot="1">
      <c r="A380" s="95"/>
      <c r="B380" s="103"/>
      <c r="C380" s="103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spans="1:26" ht="16.2" thickBot="1">
      <c r="A381" s="95" t="s">
        <v>222</v>
      </c>
      <c r="B381" s="140">
        <v>1529066</v>
      </c>
      <c r="C381" s="147">
        <v>1478850</v>
      </c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spans="1:26" ht="15" thickBo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spans="1:26" ht="15" thickBot="1">
      <c r="A383" s="41"/>
      <c r="B383" s="73"/>
      <c r="C383" s="73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spans="1:26" ht="15" thickBo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spans="1:26" ht="15" thickBo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spans="1:26" ht="15" thickBo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spans="1:26" ht="15" thickBo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spans="1:26" ht="15" thickBo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spans="1:26" ht="15" thickBo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spans="1:26" ht="15" thickBo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spans="1:26" ht="15" thickBo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spans="1:26" ht="15" thickBo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spans="1:26" ht="15" thickBo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spans="1:26" ht="15" thickBo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spans="1:26" ht="15" thickBo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spans="1:26" ht="15" thickBo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spans="1:26" ht="15" thickBo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spans="1:26" ht="15" thickBo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spans="1:26" ht="15" thickBo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spans="1:26" ht="15" thickBo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spans="1:26" ht="15" thickBo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spans="1:26" ht="15" thickBo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spans="1:26" ht="15" thickBo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spans="1:26" ht="15" thickBo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spans="1:26" ht="15" thickBo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spans="1:26" ht="15" thickBo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spans="1:26" ht="15" thickBo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spans="1:26" ht="15" thickBot="1">
      <c r="A408" s="41"/>
      <c r="B408" s="41"/>
      <c r="C408" s="41"/>
      <c r="D408" s="41"/>
      <c r="E408" s="41"/>
      <c r="F408" s="41"/>
      <c r="G408" s="41"/>
      <c r="H408" s="148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spans="1:26" ht="15" thickBo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spans="1:26" ht="15" thickBo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spans="1:26" ht="15" thickBo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spans="1:26" ht="15" thickBo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spans="1:26" ht="15" thickBo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spans="1:26" ht="15" thickBo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spans="1:26" ht="15" thickBo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spans="1:26" ht="15" thickBo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spans="1:26" ht="15" thickBo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spans="1:26" ht="15" thickBo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spans="1:26" ht="15" thickBo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spans="1:26" ht="15" thickBo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spans="1:26" ht="15" thickBo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spans="1:26" ht="15" thickBo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spans="1:26" ht="15" thickBo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spans="1:26" ht="15" thickBo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spans="1:26" ht="15" thickBo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spans="1:26" ht="15" thickBo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spans="1:26" ht="15" thickBo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spans="1:26" ht="15" thickBo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spans="1:26" ht="15" thickBo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spans="1:26" ht="15" thickBo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spans="1:26" ht="15" thickBo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spans="1:26" ht="15" thickBo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spans="1:26" ht="15" thickBo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spans="1:26" ht="15" thickBo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spans="1:26" ht="15" thickBo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spans="1:26" ht="15" thickBo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spans="1:26" ht="15" thickBo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spans="1:26" ht="15" thickBo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spans="1:26" ht="15" thickBo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spans="1:26" ht="15" thickBo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spans="1:26" ht="15" thickBo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spans="1:26" ht="15" thickBo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spans="1:26" ht="15" thickBo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spans="1:26" ht="15" thickBo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spans="1:26" ht="15" thickBo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spans="1:26" ht="15" thickBo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spans="1:26" ht="15" thickBo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spans="1:26" ht="15" thickBo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spans="1:26" ht="15" thickBo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spans="1:26" ht="15" thickBo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spans="1:26" ht="15" thickBo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spans="1:26" ht="15" thickBo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spans="1:26" ht="15" thickBo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spans="1:26" ht="15" thickBo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spans="1:26" ht="15" thickBo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spans="1:26" ht="15" thickBo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spans="1:26" ht="15" thickBo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spans="1:26" ht="15" thickBo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spans="1:26" ht="15" thickBo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spans="1:26" ht="15" thickBo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spans="1:26" ht="15" thickBo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spans="1:26" ht="15" thickBo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spans="1:26" ht="15" thickBo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spans="1:26" ht="15" thickBo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spans="1:26" ht="15" thickBo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spans="1:26" ht="15" thickBo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spans="1:26" ht="15" thickBo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spans="1:26" ht="15" thickBo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spans="1:26" ht="15" thickBo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spans="1:26" ht="15" thickBo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spans="1:26" ht="15" thickBo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spans="1:26" ht="15" thickBo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spans="1:26" ht="15" thickBo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spans="1:26" ht="15" thickBo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spans="1:26" ht="15" thickBo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spans="1:26" ht="15" thickBo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spans="1:26" ht="15" thickBo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spans="1:26" ht="15" thickBo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spans="1:26" ht="15" thickBo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spans="1:26" ht="15" thickBo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spans="1:26" ht="15" thickBo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spans="1:26" ht="15" thickBo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spans="1:26" ht="15" thickBo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spans="1:26" ht="15" thickBo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spans="1:26" ht="15" thickBo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spans="1:26" ht="15" thickBo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spans="1:26" ht="15" thickBo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spans="1:26" ht="15" thickBo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spans="1:26" ht="15" thickBo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spans="1:26" ht="15" thickBo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spans="1:26" ht="15" thickBo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spans="1:26" ht="15" thickBo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spans="1:26" ht="15" thickBo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spans="1:26" ht="15" thickBo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spans="1:26" ht="15" thickBo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spans="1:26" ht="15" thickBo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spans="1:26" ht="15" thickBo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spans="1:26" ht="15" thickBo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spans="1:26" ht="15" thickBo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spans="1:26" ht="15" thickBo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spans="1:26" ht="15" thickBo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spans="1:26" ht="15" thickBo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spans="1:26" ht="15" thickBo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spans="1:26" ht="15" thickBo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spans="1:26" ht="15" thickBo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spans="1:26" ht="15" thickBo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spans="1:26" ht="15" thickBo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spans="1:26" ht="15" thickBo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spans="1:26" ht="15" thickBo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spans="1:26" ht="15" thickBo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spans="1:26" ht="15" thickBo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spans="1:26" ht="15" thickBo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spans="1:26" ht="15" thickBo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spans="1:26" ht="15" thickBo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spans="1:26" ht="15" thickBo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spans="1:26" ht="15" thickBo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spans="1:26" ht="15" thickBo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spans="1:26" ht="15" thickBo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spans="1:26" ht="15" thickBo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spans="1:26" ht="15" thickBo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spans="1:26" ht="15" thickBo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spans="1:26" ht="15" thickBo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spans="1:26" ht="15" thickBo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spans="1:26" ht="15" thickBo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spans="1:26" ht="15" thickBo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spans="1:26" ht="15" thickBo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spans="1:26" ht="15" thickBo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spans="1:26" ht="15" thickBo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spans="1:26" ht="15" thickBo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spans="1:26" ht="15" thickBo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spans="1:26" ht="15" thickBo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spans="1:26" ht="15" thickBo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spans="1:26" ht="15" thickBo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spans="1:26" ht="15" thickBo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spans="1:26" ht="15" thickBo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spans="1:26" ht="15" thickBo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spans="1:26" ht="15" thickBo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spans="1:26" ht="15" thickBo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spans="1:26" ht="15" thickBo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spans="1:26" ht="15" thickBo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spans="1:26" ht="15" thickBo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spans="1:26" ht="15" thickBo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spans="1:26" ht="15" thickBo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spans="1:26" ht="15" thickBo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spans="1:26" ht="15" thickBo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spans="1:26" ht="15" thickBo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spans="1:26" ht="15" thickBo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spans="1:26" ht="15" thickBo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spans="1:26" ht="15" thickBo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spans="1:26" ht="15" thickBo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spans="1:26" ht="15" thickBo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spans="1:26" ht="15" thickBo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spans="1:26" ht="15" thickBo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spans="1:26" ht="15" thickBo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spans="1:26" ht="15" thickBo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spans="1:26" ht="15" thickBo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spans="1:26" ht="15" thickBo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spans="1:26" ht="15" thickBo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spans="1:26" ht="15" thickBo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spans="1:26" ht="15" thickBo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spans="1:26" ht="15" thickBo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spans="1:26" ht="15" thickBo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spans="1:26" ht="15" thickBo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spans="1:26" ht="15" thickBo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spans="1:26" ht="15" thickBo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spans="1:26" ht="15" thickBo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spans="1:26" ht="15" thickBo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spans="1:26" ht="15" thickBo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spans="1:26" ht="15" thickBo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spans="1:26" ht="15" thickBo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spans="1:26" ht="15" thickBo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spans="1:26" ht="15" thickBo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spans="1:26" ht="15" thickBo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spans="1:26" ht="15" thickBo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spans="1:26" ht="15" thickBo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spans="1:26" ht="15" thickBo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spans="1:26" ht="15" thickBo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spans="1:26" ht="15" thickBo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spans="1:26" ht="15" thickBo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spans="1:26" ht="15" thickBo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spans="1:26" ht="15" thickBo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spans="1:26" ht="15" thickBo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spans="1:26" ht="15" thickBo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spans="1:26" ht="15" thickBo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spans="1:26" ht="15" thickBo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spans="1:26" ht="15" thickBo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spans="1:26" ht="15" thickBo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spans="1:26" ht="15" thickBo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spans="1:26" ht="15" thickBo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spans="1:26" ht="15" thickBo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spans="1:26" ht="15" thickBo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spans="1:26" ht="15" thickBo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spans="1:26" ht="15" thickBo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spans="1:26" ht="15" thickBo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spans="1:26" ht="15" thickBo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spans="1:26" ht="15" thickBo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spans="1:26" ht="15" thickBo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spans="1:26" ht="15" thickBo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spans="1:26" ht="15" thickBo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spans="1:26" ht="15" thickBo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spans="1:26" ht="15" thickBo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spans="1:26" ht="15" thickBo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spans="1:26" ht="15" thickBo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spans="1:26" ht="15" thickBo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spans="1:26" ht="15" thickBo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spans="1:26" ht="15" thickBo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spans="1:26" ht="15" thickBo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spans="1:26" ht="15" thickBo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spans="1:26" ht="15" thickBo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spans="1:26" ht="15" thickBo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spans="1:26" ht="15" thickBo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spans="1:26" ht="15" thickBo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spans="1:26" ht="15" thickBo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spans="1:26" ht="15" thickBo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spans="1:26" ht="15" thickBo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spans="1:26" ht="15" thickBo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spans="1:26" ht="15" thickBo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spans="1:26" ht="15" thickBo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spans="1:26" ht="15" thickBo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spans="1:26" ht="15" thickBo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spans="1:26" ht="15" thickBo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spans="1:26" ht="15" thickBo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spans="1:26" ht="15" thickBo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spans="1:26" ht="15" thickBo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spans="1:26" ht="15" thickBo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spans="1:26" ht="15" thickBo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spans="1:26" ht="15" thickBo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spans="1:26" ht="15" thickBo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spans="1:26" ht="15" thickBo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spans="1:26" ht="15" thickBo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spans="1:26" ht="15" thickBo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spans="1:26" ht="15" thickBo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spans="1:26" ht="15" thickBo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spans="1:26" ht="15" thickBo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spans="1:26" ht="15" thickBo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spans="1:26" ht="15" thickBo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spans="1:26" ht="15" thickBo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spans="1:26" ht="15" thickBo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spans="1:26" ht="15" thickBo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spans="1:26" ht="15" thickBo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spans="1:26" ht="15" thickBo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spans="1:26" ht="15" thickBo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spans="1:26" ht="15" thickBo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spans="1:26" ht="15" thickBo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spans="1:26" ht="15" thickBo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spans="1:26" ht="15" thickBo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spans="1:26" ht="15" thickBo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spans="1:26" ht="15" thickBo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spans="1:26" ht="15" thickBo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spans="1:26" ht="15" thickBo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spans="1:26" ht="15" thickBo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spans="1:26" ht="15" thickBo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spans="1:26" ht="15" thickBo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spans="1:26" ht="15" thickBo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spans="1:26" ht="15" thickBo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spans="1:26" ht="15" thickBo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spans="1:26" ht="15" thickBo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spans="1:26" ht="15" thickBo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spans="1:26" ht="15" thickBo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spans="1:26" ht="15" thickBo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spans="1:26" ht="15" thickBo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spans="1:26" ht="15" thickBo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spans="1:26" ht="15" thickBo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spans="1:26" ht="15" thickBo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spans="1:26" ht="15" thickBo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spans="1:26" ht="15" thickBo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spans="1:26" ht="15" thickBo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spans="1:26" ht="15" thickBo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spans="1:26" ht="15" thickBo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spans="1:26" ht="15" thickBo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spans="1:26" ht="15" thickBo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spans="1:26" ht="15" thickBo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spans="1:26" ht="15" thickBo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spans="1:26" ht="15" thickBo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spans="1:26" ht="15" thickBo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spans="1:26" ht="15" thickBo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spans="1:26" ht="15" thickBo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spans="1:26" ht="15" thickBo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spans="1:26" ht="15" thickBo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spans="1:26" ht="15" thickBo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spans="1:26" ht="15" thickBo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spans="1:26" ht="15" thickBo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spans="1:26" ht="15" thickBo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spans="1:26" ht="15" thickBo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spans="1:26" ht="15" thickBo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spans="1:26" ht="15" thickBo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spans="1:26" ht="15" thickBo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spans="1:26" ht="15" thickBo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spans="1:26" ht="15" thickBo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spans="1:26" ht="15" thickBo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spans="1:26" ht="15" thickBo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spans="1:26" ht="15" thickBo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spans="1:26" ht="15" thickBo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spans="1:26" ht="15" thickBo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spans="1:26" ht="15" thickBo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spans="1:26" ht="15" thickBo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spans="1:26" ht="15" thickBo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spans="1:26" ht="15" thickBo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spans="1:26" ht="15" thickBo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spans="1:26" ht="15" thickBo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spans="1:26" ht="15" thickBo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spans="1:26" ht="15" thickBo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spans="1:26" ht="15" thickBo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spans="1:26" ht="15" thickBo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spans="1:26" ht="15" thickBo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spans="1:26" ht="15" thickBo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spans="1:26" ht="15" thickBo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spans="1:26" ht="15" thickBo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spans="1:26" ht="15" thickBo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spans="1:26" ht="15" thickBo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spans="1:26" ht="15" thickBo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spans="1:26" ht="15" thickBo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spans="1:26" ht="15" thickBo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spans="1:26" ht="15" thickBo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spans="1:26" ht="15" thickBo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spans="1:26" ht="15" thickBo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spans="1:26" ht="15" thickBo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spans="1:26" ht="15" thickBo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spans="1:26" ht="15" thickBo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spans="1:26" ht="15" thickBo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spans="1:26" ht="15" thickBo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spans="1:26" ht="15" thickBo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spans="1:26" ht="15" thickBo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spans="1:26" ht="15" thickBo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spans="1:26" ht="15" thickBo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spans="1:26" ht="15" thickBo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spans="1:26" ht="15" thickBo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spans="1:26" ht="15" thickBo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spans="1:26" ht="15" thickBo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spans="1:26" ht="15" thickBo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spans="1:26" ht="15" thickBo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spans="1:26" ht="15" thickBo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spans="1:26" ht="15" thickBo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spans="1:26" ht="15" thickBo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spans="1:26" ht="15" thickBo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spans="1:26" ht="15" thickBo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spans="1:26" ht="15" thickBo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spans="1:26" ht="15" thickBo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spans="1:26" ht="15" thickBo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spans="1:26" ht="15" thickBo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spans="1:26" ht="15" thickBo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spans="1:26" ht="15" thickBo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spans="1:26" ht="15" thickBo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spans="1:26" ht="15" thickBo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spans="1:26" ht="15" thickBo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spans="1:26" ht="15" thickBo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spans="1:26" ht="15" thickBo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spans="1:26" ht="15" thickBo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spans="1:26" ht="15" thickBo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spans="1:26" ht="15" thickBo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spans="1:26" ht="15" thickBo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spans="1:26" ht="15" thickBo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spans="1:26" ht="15" thickBo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spans="1:26" ht="15" thickBo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spans="1:26" ht="15" thickBo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spans="1:26" ht="15" thickBo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spans="1:26" ht="15" thickBo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spans="1:26" ht="15" thickBo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spans="1:26" ht="15" thickBo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spans="1:26" ht="15" thickBo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spans="1:26" ht="15" thickBo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spans="1:26" ht="15" thickBo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spans="1:26" ht="15" thickBo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spans="1:26" ht="15" thickBo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spans="1:26" ht="15" thickBo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spans="1:26" ht="15" thickBo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spans="1:26" ht="15" thickBo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spans="1:26" ht="15" thickBo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spans="1:26" ht="15" thickBo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spans="1:26" ht="15" thickBo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spans="1:26" ht="15" thickBo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spans="1:26" ht="15" thickBo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spans="1:26" ht="15" thickBo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spans="1:26" ht="15" thickBo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spans="1:26" ht="15" thickBo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spans="1:26" ht="15" thickBo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spans="1:26" ht="15" thickBo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spans="1:26" ht="15" thickBo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spans="1:26" ht="15" thickBo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spans="1:26" ht="15" thickBo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spans="1:26" ht="15" thickBo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spans="1:26" ht="15" thickBo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spans="1:26" ht="15" thickBo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spans="1:26" ht="15" thickBo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spans="1:26" ht="15" thickBo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spans="1:26" ht="15" thickBo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spans="1:26" ht="15" thickBo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spans="1:26" ht="15" thickBo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spans="1:26" ht="15" thickBot="1">
      <c r="A789" s="41"/>
      <c r="B789" s="41"/>
      <c r="C789" s="41"/>
      <c r="D789" s="73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spans="1:26" ht="15" thickBot="1">
      <c r="A790" s="41"/>
      <c r="B790" s="41"/>
      <c r="C790" s="41"/>
      <c r="D790" s="73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spans="1:26" ht="15" thickBo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spans="1:26" ht="15" thickBo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spans="1:26" ht="15" thickBo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spans="1:26" ht="15" thickBo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spans="1:26" ht="15" thickBo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spans="1:26" ht="15" thickBo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spans="1:26" ht="15" thickBo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spans="1:26" ht="15" thickBo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spans="1:26" ht="15" thickBo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spans="1:26" ht="15" thickBo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spans="1:26" ht="15" thickBo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spans="1:26" ht="15" thickBo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spans="1:26" ht="15" thickBo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spans="1:26" ht="15" thickBo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spans="1:26" ht="15" thickBo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spans="1:26" ht="15" thickBo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spans="1:26" ht="15" thickBo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spans="1:26" ht="15" thickBo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spans="1:26" ht="15" thickBo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spans="1:26" ht="15" thickBo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spans="1:26" ht="15" thickBo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spans="1:26" ht="15" thickBo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spans="1:26" ht="15" thickBo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spans="1:26" ht="15" thickBo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spans="1:26" ht="15" thickBo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spans="1:26" ht="15" thickBo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spans="1:26" ht="15" thickBo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spans="1:26" ht="15" thickBo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spans="1:26" ht="15" thickBo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spans="1:26" ht="15" thickBo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spans="1:26" ht="15" thickBo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spans="1:26" ht="15" thickBo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spans="1:26" ht="15" thickBo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spans="1:26" ht="15" thickBo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spans="1:26" ht="15" thickBo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spans="1:26" ht="15" thickBo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spans="1:26" ht="15" thickBo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spans="1:26" ht="15" thickBo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spans="1:26" ht="15" thickBo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spans="1:26" ht="15" thickBo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spans="1:26" ht="15" thickBo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spans="1:26" ht="15" thickBo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spans="1:26" ht="15" thickBo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spans="1:26" ht="15" thickBo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spans="1:26" ht="15" thickBo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spans="1:26" ht="15" thickBo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spans="1:26" ht="15" thickBo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spans="1:26" ht="15" thickBo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spans="1:26" ht="15" thickBo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spans="1:26" ht="15" thickBo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spans="1:26" ht="15" thickBo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spans="1:26" ht="15" thickBo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spans="1:26" ht="15" thickBo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spans="1:26" ht="15" thickBo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spans="1:26" ht="15" thickBo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spans="1:26" ht="15" thickBo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spans="1:26" ht="15" thickBo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spans="1:26" ht="15" thickBo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spans="1:26" ht="15" thickBo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spans="1:26" ht="15" thickBo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spans="1:26" ht="15" thickBo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spans="1:26" ht="15" thickBo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spans="1:26" ht="15" thickBo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spans="1:26" ht="15" thickBo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spans="1:26" ht="15" thickBo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spans="1:26" ht="15" thickBo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spans="1:26" ht="15" thickBo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spans="1:26" ht="15" thickBo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spans="1:26" ht="15" thickBo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spans="1:26" ht="15" thickBo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spans="1:26" ht="15" thickBo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spans="1:26" ht="15" thickBo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spans="1:26" ht="15" thickBo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spans="1:26" ht="15" thickBo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spans="1:26" ht="15" thickBo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spans="1:26" ht="15" thickBo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spans="1:26" ht="15" thickBo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spans="1:26" ht="15" thickBo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spans="1:26" ht="15" thickBo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spans="1:26" ht="15" thickBo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spans="1:26" ht="15" thickBo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spans="1:26" ht="15" thickBo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spans="1:26" ht="15" thickBo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spans="1:26" ht="15" thickBo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spans="1:26" ht="15" thickBo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spans="1:26" ht="15" thickBo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spans="1:26" ht="15" thickBo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spans="1:26" ht="15" thickBo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spans="1:26" ht="15" thickBo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spans="1:26" ht="15" thickBo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spans="1:26" ht="15" thickBo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spans="1:26" ht="15" thickBo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spans="1:26" ht="15" thickBo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spans="1:26" ht="15" thickBo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spans="1:26" ht="15" thickBo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spans="1:26" ht="15" thickBo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spans="1:26" ht="15" thickBo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spans="1:26" ht="15" thickBo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spans="1:26" ht="15" thickBo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spans="1:26" ht="15" thickBo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spans="1:26" ht="15" thickBo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spans="1:26" ht="15" thickBo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spans="1:26" ht="15" thickBo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spans="1:26" ht="15" thickBo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spans="1:26" ht="15" thickBo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spans="1:26" ht="15" thickBo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spans="1:26" ht="15" thickBo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spans="1:26" ht="15" thickBo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spans="1:26" ht="15" thickBo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spans="1:26" ht="15" thickBo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spans="1:26" ht="15" thickBo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spans="1:26" ht="15" thickBo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spans="1:26" ht="15" thickBo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spans="1:26" ht="15" thickBo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spans="1:26" ht="15" thickBo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spans="1:26" ht="15" thickBo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spans="1:26" ht="15" thickBo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spans="1:26" ht="15" thickBo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spans="1:26" ht="15" thickBo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spans="1:26" ht="15" thickBo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spans="1:26" ht="15" thickBo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spans="1:26" ht="15" thickBo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spans="1:26" ht="15" thickBo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spans="1:26" ht="15" thickBo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spans="1:26" ht="15" thickBo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spans="1:26" ht="15" thickBo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spans="1:26" ht="15" thickBo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spans="1:26" ht="15" thickBo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spans="1:26" ht="15" thickBo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spans="1:26" ht="15" thickBo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spans="1:26" ht="15" thickBo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spans="1:26" ht="15" thickBo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spans="1:26" ht="15" thickBo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spans="1:26" ht="15" thickBo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spans="1:26" ht="15" thickBo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spans="1:26" ht="15" thickBo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spans="1:26" ht="15" thickBo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spans="1:26" ht="15" thickBo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spans="1:26" ht="15" thickBo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spans="1:26" ht="15" thickBo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spans="1:26" ht="15" thickBo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spans="1:26" ht="15" thickBo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spans="1:26" ht="15" thickBo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spans="1:26" ht="15" thickBo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spans="1:26" ht="15" thickBo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spans="1:26" ht="15" thickBo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spans="1:26" ht="15" thickBo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spans="1:26" ht="15" thickBo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spans="1:26" ht="15" thickBo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spans="1:26" ht="15" thickBo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spans="1:26" ht="15" thickBo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spans="1:26" ht="15" thickBo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spans="1:26" ht="15" thickBo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spans="1:26" ht="15" thickBo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spans="1:26" ht="15" thickBo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spans="1:26" ht="15" thickBo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spans="1:26" ht="15" thickBo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spans="1:26" ht="15" thickBo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spans="1:26" ht="15" thickBo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spans="1:26" ht="15" thickBo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spans="1:26" ht="15" thickBo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spans="1:26" ht="15" thickBo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spans="1:26" ht="15" thickBo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spans="1:26" ht="15" thickBo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spans="1:26" ht="15" thickBo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spans="1:26" ht="15" thickBo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spans="1:26" ht="15" thickBo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spans="1:26" ht="15" thickBo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spans="1:26" ht="15" thickBo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spans="1:26" ht="15" thickBo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spans="1:26" ht="15" thickBo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spans="1:26" ht="15" thickBo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spans="1:26" ht="15" thickBo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spans="1:26" ht="15" thickBo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spans="1:26" ht="15" thickBo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spans="1:26" ht="15" thickBo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spans="1:26" ht="15" thickBo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spans="1:26" ht="15" thickBo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spans="1:26" ht="15" thickBo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spans="1:26" ht="15" thickBo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spans="1:26" ht="15" thickBo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spans="1:26" ht="15" thickBo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spans="1:26" ht="15" thickBo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spans="1:26" ht="15" thickBo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spans="1:26" ht="15" thickBo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spans="1:26" ht="15" thickBo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spans="1:26" ht="15" thickBo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spans="1:26" ht="15" thickBo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spans="1:26" ht="15" thickBo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spans="1:26" ht="15" thickBo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spans="1:26" ht="15" thickBo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spans="1:26" ht="15" thickBo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spans="1:26" ht="15" thickBo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spans="1:26" ht="15" thickBo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spans="1:26" ht="15" thickBo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spans="1:26" ht="15" thickBo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spans="1:26" ht="15" thickBo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spans="1:26" ht="15" thickBo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spans="1:26" ht="15" thickBo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spans="1:26" ht="15" thickBo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spans="1:26" ht="15" thickBo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spans="1:26" ht="15" thickBo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spans="1:26" ht="15" thickBo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spans="1:26" ht="15" thickBo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spans="1:26" ht="15" thickBo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spans="1:26" ht="15" thickBo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spans="1:26" ht="15" thickBo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spans="1:26" ht="15" thickBo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spans="1:26" ht="15" thickBo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spans="1:26" ht="15" thickBo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  <row r="1001" spans="1:26" ht="15" thickBot="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</row>
    <row r="1002" spans="1:26" ht="15" thickBot="1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</row>
    <row r="1003" spans="1:26" ht="15" thickBot="1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</row>
    <row r="1004" spans="1:26" ht="15" thickBot="1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</row>
    <row r="1005" spans="1:26" ht="15" thickBot="1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</row>
    <row r="1006" spans="1:26" ht="15" thickBot="1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</row>
    <row r="1007" spans="1:26" ht="15" thickBot="1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</row>
    <row r="1008" spans="1:26" ht="15" thickBot="1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</row>
    <row r="1009" spans="1:26" ht="15" thickBot="1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</row>
    <row r="1010" spans="1:26" ht="15" thickBot="1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</row>
    <row r="1011" spans="1:26" ht="15" thickBot="1">
      <c r="A1011" s="41"/>
      <c r="B1011" s="41"/>
      <c r="C1011" s="41"/>
      <c r="D1011" s="41"/>
      <c r="E1011" s="41"/>
      <c r="F1011" s="41"/>
      <c r="G1011" s="41"/>
      <c r="H1011" s="41"/>
      <c r="I1011" s="41"/>
      <c r="J1011" s="41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  <c r="W1011" s="41"/>
      <c r="X1011" s="41"/>
      <c r="Y1011" s="41"/>
      <c r="Z1011" s="41"/>
    </row>
    <row r="1012" spans="1:26" ht="15" thickBot="1">
      <c r="A1012" s="41"/>
      <c r="B1012" s="41"/>
      <c r="C1012" s="41"/>
      <c r="D1012" s="41"/>
      <c r="E1012" s="41"/>
      <c r="F1012" s="41"/>
      <c r="G1012" s="41"/>
      <c r="H1012" s="41"/>
      <c r="I1012" s="41"/>
      <c r="J1012" s="41"/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  <c r="W1012" s="41"/>
      <c r="X1012" s="41"/>
      <c r="Y1012" s="41"/>
      <c r="Z1012" s="41"/>
    </row>
    <row r="1013" spans="1:26" ht="15" thickBot="1">
      <c r="A1013" s="41"/>
      <c r="B1013" s="41"/>
      <c r="C1013" s="41"/>
      <c r="D1013" s="41"/>
      <c r="E1013" s="41"/>
      <c r="F1013" s="41"/>
      <c r="G1013" s="41"/>
      <c r="H1013" s="41"/>
      <c r="I1013" s="41"/>
      <c r="J1013" s="41"/>
      <c r="K1013" s="41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  <c r="W1013" s="41"/>
      <c r="X1013" s="41"/>
      <c r="Y1013" s="41"/>
      <c r="Z1013" s="41"/>
    </row>
    <row r="1014" spans="1:26" ht="15" thickBot="1">
      <c r="A1014" s="41"/>
      <c r="B1014" s="41"/>
      <c r="C1014" s="41"/>
      <c r="D1014" s="41"/>
      <c r="E1014" s="41"/>
      <c r="F1014" s="41"/>
      <c r="G1014" s="41"/>
      <c r="H1014" s="41"/>
      <c r="I1014" s="41"/>
      <c r="J1014" s="41"/>
      <c r="K1014" s="41"/>
      <c r="L1014" s="41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  <c r="W1014" s="41"/>
      <c r="X1014" s="41"/>
      <c r="Y1014" s="41"/>
      <c r="Z1014" s="41"/>
    </row>
    <row r="1015" spans="1:26" ht="15" thickBot="1">
      <c r="A1015" s="41"/>
      <c r="B1015" s="41"/>
      <c r="C1015" s="41"/>
      <c r="D1015" s="41"/>
      <c r="E1015" s="41"/>
      <c r="F1015" s="41"/>
      <c r="G1015" s="41"/>
      <c r="H1015" s="41"/>
      <c r="I1015" s="41"/>
      <c r="J1015" s="41"/>
      <c r="K1015" s="41"/>
      <c r="L1015" s="41"/>
      <c r="M1015" s="41"/>
      <c r="N1015" s="41"/>
      <c r="O1015" s="41"/>
      <c r="P1015" s="41"/>
      <c r="Q1015" s="41"/>
      <c r="R1015" s="41"/>
      <c r="S1015" s="41"/>
      <c r="T1015" s="41"/>
      <c r="U1015" s="41"/>
      <c r="V1015" s="41"/>
      <c r="W1015" s="41"/>
      <c r="X1015" s="41"/>
      <c r="Y1015" s="41"/>
      <c r="Z1015" s="41"/>
    </row>
    <row r="1016" spans="1:26" ht="15" thickBot="1">
      <c r="A1016" s="41"/>
      <c r="B1016" s="41"/>
      <c r="C1016" s="41"/>
      <c r="D1016" s="41"/>
      <c r="E1016" s="41"/>
      <c r="F1016" s="41"/>
      <c r="G1016" s="41"/>
      <c r="H1016" s="41"/>
      <c r="I1016" s="41"/>
      <c r="J1016" s="41"/>
      <c r="K1016" s="41"/>
      <c r="L1016" s="41"/>
      <c r="M1016" s="41"/>
      <c r="N1016" s="41"/>
      <c r="O1016" s="41"/>
      <c r="P1016" s="41"/>
      <c r="Q1016" s="41"/>
      <c r="R1016" s="41"/>
      <c r="S1016" s="41"/>
      <c r="T1016" s="41"/>
      <c r="U1016" s="41"/>
      <c r="V1016" s="41"/>
      <c r="W1016" s="41"/>
      <c r="X1016" s="41"/>
      <c r="Y1016" s="41"/>
      <c r="Z1016" s="41"/>
    </row>
    <row r="1017" spans="1:26" ht="15" thickBot="1">
      <c r="A1017" s="41"/>
      <c r="B1017" s="41"/>
      <c r="C1017" s="41"/>
      <c r="D1017" s="41"/>
      <c r="E1017" s="41"/>
      <c r="F1017" s="41"/>
      <c r="G1017" s="41"/>
      <c r="H1017" s="41"/>
      <c r="I1017" s="41"/>
      <c r="J1017" s="41"/>
      <c r="K1017" s="41"/>
      <c r="L1017" s="41"/>
      <c r="M1017" s="41"/>
      <c r="N1017" s="41"/>
      <c r="O1017" s="41"/>
      <c r="P1017" s="41"/>
      <c r="Q1017" s="41"/>
      <c r="R1017" s="41"/>
      <c r="S1017" s="41"/>
      <c r="T1017" s="41"/>
      <c r="U1017" s="41"/>
      <c r="V1017" s="41"/>
      <c r="W1017" s="41"/>
      <c r="X1017" s="41"/>
      <c r="Y1017" s="41"/>
      <c r="Z1017" s="41"/>
    </row>
    <row r="1018" spans="1:26" ht="15" thickBot="1">
      <c r="A1018" s="41"/>
      <c r="B1018" s="41"/>
      <c r="C1018" s="41"/>
      <c r="D1018" s="41"/>
      <c r="E1018" s="41"/>
      <c r="F1018" s="41"/>
      <c r="G1018" s="41"/>
      <c r="H1018" s="41"/>
      <c r="I1018" s="41"/>
      <c r="J1018" s="41"/>
      <c r="K1018" s="41"/>
      <c r="L1018" s="41"/>
      <c r="M1018" s="41"/>
      <c r="N1018" s="41"/>
      <c r="O1018" s="41"/>
      <c r="P1018" s="41"/>
      <c r="Q1018" s="41"/>
      <c r="R1018" s="41"/>
      <c r="S1018" s="41"/>
      <c r="T1018" s="41"/>
      <c r="U1018" s="41"/>
      <c r="V1018" s="41"/>
      <c r="W1018" s="41"/>
      <c r="X1018" s="41"/>
      <c r="Y1018" s="41"/>
      <c r="Z1018" s="41"/>
    </row>
    <row r="1019" spans="1:26" ht="15" thickBot="1">
      <c r="A1019" s="41"/>
      <c r="B1019" s="41"/>
      <c r="C1019" s="41"/>
      <c r="D1019" s="41"/>
      <c r="E1019" s="41"/>
      <c r="F1019" s="41"/>
      <c r="G1019" s="41"/>
      <c r="H1019" s="41"/>
      <c r="I1019" s="41"/>
      <c r="J1019" s="41"/>
      <c r="K1019" s="41"/>
      <c r="L1019" s="41"/>
      <c r="M1019" s="41"/>
      <c r="N1019" s="41"/>
      <c r="O1019" s="41"/>
      <c r="P1019" s="41"/>
      <c r="Q1019" s="41"/>
      <c r="R1019" s="41"/>
      <c r="S1019" s="41"/>
      <c r="T1019" s="41"/>
      <c r="U1019" s="41"/>
      <c r="V1019" s="41"/>
      <c r="W1019" s="41"/>
      <c r="X1019" s="41"/>
      <c r="Y1019" s="41"/>
      <c r="Z1019" s="41"/>
    </row>
    <row r="1020" spans="1:26" ht="15" thickBot="1">
      <c r="A1020" s="41"/>
      <c r="B1020" s="41"/>
      <c r="C1020" s="41"/>
      <c r="D1020" s="41"/>
      <c r="E1020" s="41"/>
      <c r="F1020" s="41"/>
      <c r="G1020" s="41"/>
      <c r="H1020" s="41"/>
      <c r="I1020" s="41"/>
      <c r="J1020" s="41"/>
      <c r="K1020" s="41"/>
      <c r="L1020" s="41"/>
      <c r="M1020" s="41"/>
      <c r="N1020" s="41"/>
      <c r="O1020" s="41"/>
      <c r="P1020" s="41"/>
      <c r="Q1020" s="41"/>
      <c r="R1020" s="41"/>
      <c r="S1020" s="41"/>
      <c r="T1020" s="41"/>
      <c r="U1020" s="41"/>
      <c r="V1020" s="41"/>
      <c r="W1020" s="41"/>
      <c r="X1020" s="41"/>
      <c r="Y1020" s="41"/>
      <c r="Z1020" s="41"/>
    </row>
    <row r="1021" spans="1:26" ht="15" thickBot="1">
      <c r="A1021" s="41"/>
      <c r="B1021" s="41"/>
      <c r="C1021" s="41"/>
      <c r="D1021" s="41"/>
      <c r="E1021" s="41"/>
      <c r="F1021" s="41"/>
      <c r="G1021" s="41"/>
      <c r="H1021" s="41"/>
      <c r="I1021" s="41"/>
      <c r="J1021" s="41"/>
      <c r="K1021" s="41"/>
      <c r="L1021" s="41"/>
      <c r="M1021" s="41"/>
      <c r="N1021" s="41"/>
      <c r="O1021" s="41"/>
      <c r="P1021" s="41"/>
      <c r="Q1021" s="41"/>
      <c r="R1021" s="41"/>
      <c r="S1021" s="41"/>
      <c r="T1021" s="41"/>
      <c r="U1021" s="41"/>
      <c r="V1021" s="41"/>
      <c r="W1021" s="41"/>
      <c r="X1021" s="41"/>
      <c r="Y1021" s="41"/>
      <c r="Z1021" s="41"/>
    </row>
    <row r="1022" spans="1:26" ht="15" thickBot="1">
      <c r="A1022" s="41"/>
      <c r="B1022" s="41"/>
      <c r="C1022" s="41"/>
      <c r="D1022" s="41"/>
      <c r="E1022" s="41"/>
      <c r="F1022" s="41"/>
      <c r="G1022" s="41"/>
      <c r="H1022" s="41"/>
      <c r="I1022" s="41"/>
      <c r="J1022" s="41"/>
      <c r="K1022" s="41"/>
      <c r="L1022" s="41"/>
      <c r="M1022" s="41"/>
      <c r="N1022" s="41"/>
      <c r="O1022" s="41"/>
      <c r="P1022" s="41"/>
      <c r="Q1022" s="41"/>
      <c r="R1022" s="41"/>
      <c r="S1022" s="41"/>
      <c r="T1022" s="41"/>
      <c r="U1022" s="41"/>
      <c r="V1022" s="41"/>
      <c r="W1022" s="41"/>
      <c r="X1022" s="41"/>
      <c r="Y1022" s="41"/>
      <c r="Z1022" s="41"/>
    </row>
    <row r="1023" spans="1:26" ht="15" thickBot="1">
      <c r="A1023" s="41"/>
      <c r="B1023" s="41"/>
      <c r="C1023" s="41"/>
      <c r="D1023" s="41"/>
      <c r="E1023" s="41"/>
      <c r="F1023" s="41"/>
      <c r="G1023" s="41"/>
      <c r="H1023" s="41"/>
      <c r="I1023" s="41"/>
      <c r="J1023" s="41"/>
      <c r="K1023" s="41"/>
      <c r="L1023" s="41"/>
      <c r="M1023" s="41"/>
      <c r="N1023" s="41"/>
      <c r="O1023" s="41"/>
      <c r="P1023" s="41"/>
      <c r="Q1023" s="41"/>
      <c r="R1023" s="41"/>
      <c r="S1023" s="41"/>
      <c r="T1023" s="41"/>
      <c r="U1023" s="41"/>
      <c r="V1023" s="41"/>
      <c r="W1023" s="41"/>
      <c r="X1023" s="41"/>
      <c r="Y1023" s="41"/>
      <c r="Z1023" s="41"/>
    </row>
    <row r="1024" spans="1:26" ht="15" thickBot="1">
      <c r="A1024" s="41"/>
      <c r="B1024" s="41"/>
      <c r="C1024" s="41"/>
      <c r="D1024" s="41"/>
      <c r="E1024" s="41"/>
      <c r="F1024" s="41"/>
      <c r="G1024" s="41"/>
      <c r="H1024" s="41"/>
      <c r="I1024" s="41"/>
      <c r="J1024" s="41"/>
      <c r="K1024" s="41"/>
      <c r="L1024" s="41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  <c r="W1024" s="41"/>
      <c r="X1024" s="41"/>
      <c r="Y1024" s="41"/>
      <c r="Z1024" s="41"/>
    </row>
    <row r="1025" spans="1:26" ht="15" thickBot="1">
      <c r="A1025" s="41"/>
      <c r="B1025" s="41"/>
      <c r="C1025" s="41"/>
      <c r="D1025" s="41"/>
      <c r="E1025" s="41"/>
      <c r="F1025" s="41"/>
      <c r="G1025" s="41"/>
      <c r="H1025" s="41"/>
      <c r="I1025" s="41"/>
      <c r="J1025" s="41"/>
      <c r="K1025" s="41"/>
      <c r="L1025" s="41"/>
      <c r="M1025" s="41"/>
      <c r="N1025" s="41"/>
      <c r="O1025" s="41"/>
      <c r="P1025" s="41"/>
      <c r="Q1025" s="41"/>
      <c r="R1025" s="41"/>
      <c r="S1025" s="41"/>
      <c r="T1025" s="41"/>
      <c r="U1025" s="41"/>
      <c r="V1025" s="41"/>
      <c r="W1025" s="41"/>
      <c r="X1025" s="41"/>
      <c r="Y1025" s="41"/>
      <c r="Z1025" s="41"/>
    </row>
    <row r="1026" spans="1:26" ht="15" thickBot="1">
      <c r="A1026" s="41"/>
      <c r="B1026" s="41"/>
      <c r="C1026" s="41"/>
      <c r="D1026" s="41"/>
      <c r="E1026" s="41"/>
      <c r="F1026" s="41"/>
      <c r="G1026" s="41"/>
      <c r="H1026" s="41"/>
      <c r="I1026" s="41"/>
      <c r="J1026" s="41"/>
      <c r="K1026" s="41"/>
      <c r="L1026" s="41"/>
      <c r="M1026" s="41"/>
      <c r="N1026" s="41"/>
      <c r="O1026" s="41"/>
      <c r="P1026" s="41"/>
      <c r="Q1026" s="41"/>
      <c r="R1026" s="41"/>
      <c r="S1026" s="41"/>
      <c r="T1026" s="41"/>
      <c r="U1026" s="41"/>
      <c r="V1026" s="41"/>
      <c r="W1026" s="41"/>
      <c r="X1026" s="41"/>
      <c r="Y1026" s="41"/>
      <c r="Z1026" s="41"/>
    </row>
    <row r="1027" spans="1:26" ht="15" thickBot="1">
      <c r="A1027" s="41"/>
      <c r="B1027" s="41"/>
      <c r="C1027" s="41"/>
      <c r="D1027" s="41"/>
      <c r="E1027" s="41"/>
      <c r="F1027" s="41"/>
      <c r="G1027" s="41"/>
      <c r="H1027" s="41"/>
      <c r="I1027" s="41"/>
      <c r="J1027" s="41"/>
      <c r="K1027" s="41"/>
      <c r="L1027" s="41"/>
      <c r="M1027" s="41"/>
      <c r="N1027" s="41"/>
      <c r="O1027" s="41"/>
      <c r="P1027" s="41"/>
      <c r="Q1027" s="41"/>
      <c r="R1027" s="41"/>
      <c r="S1027" s="41"/>
      <c r="T1027" s="41"/>
      <c r="U1027" s="41"/>
      <c r="V1027" s="41"/>
      <c r="W1027" s="41"/>
      <c r="X1027" s="41"/>
      <c r="Y1027" s="41"/>
      <c r="Z1027" s="41"/>
    </row>
    <row r="1028" spans="1:26" ht="15" thickBot="1">
      <c r="A1028" s="41"/>
      <c r="B1028" s="41"/>
      <c r="C1028" s="41"/>
      <c r="D1028" s="41"/>
      <c r="E1028" s="41"/>
      <c r="F1028" s="41"/>
      <c r="G1028" s="41"/>
      <c r="H1028" s="41"/>
      <c r="I1028" s="41"/>
      <c r="J1028" s="41"/>
      <c r="K1028" s="41"/>
      <c r="L1028" s="41"/>
      <c r="M1028" s="41"/>
      <c r="N1028" s="41"/>
      <c r="O1028" s="41"/>
      <c r="P1028" s="41"/>
      <c r="Q1028" s="41"/>
      <c r="R1028" s="41"/>
      <c r="S1028" s="41"/>
      <c r="T1028" s="41"/>
      <c r="U1028" s="41"/>
      <c r="V1028" s="41"/>
      <c r="W1028" s="41"/>
      <c r="X1028" s="41"/>
      <c r="Y1028" s="41"/>
      <c r="Z1028" s="41"/>
    </row>
    <row r="1029" spans="1:26" ht="15" thickBot="1">
      <c r="A1029" s="41"/>
      <c r="B1029" s="41"/>
      <c r="C1029" s="41"/>
      <c r="D1029" s="41"/>
      <c r="E1029" s="41"/>
      <c r="F1029" s="41"/>
      <c r="G1029" s="41"/>
      <c r="H1029" s="41"/>
      <c r="I1029" s="41"/>
      <c r="J1029" s="41"/>
      <c r="K1029" s="41"/>
      <c r="L1029" s="41"/>
      <c r="M1029" s="41"/>
      <c r="N1029" s="41"/>
      <c r="O1029" s="41"/>
      <c r="P1029" s="41"/>
      <c r="Q1029" s="41"/>
      <c r="R1029" s="41"/>
      <c r="S1029" s="41"/>
      <c r="T1029" s="41"/>
      <c r="U1029" s="41"/>
      <c r="V1029" s="41"/>
      <c r="W1029" s="41"/>
      <c r="X1029" s="41"/>
      <c r="Y1029" s="41"/>
      <c r="Z1029" s="41"/>
    </row>
    <row r="1030" spans="1:26" ht="15" thickBot="1">
      <c r="A1030" s="41"/>
      <c r="B1030" s="41"/>
      <c r="C1030" s="41"/>
      <c r="D1030" s="41"/>
      <c r="E1030" s="41"/>
      <c r="F1030" s="41"/>
      <c r="G1030" s="41"/>
      <c r="H1030" s="41"/>
      <c r="I1030" s="41"/>
      <c r="J1030" s="41"/>
      <c r="K1030" s="41"/>
      <c r="L1030" s="41"/>
      <c r="M1030" s="41"/>
      <c r="N1030" s="41"/>
      <c r="O1030" s="41"/>
      <c r="P1030" s="41"/>
      <c r="Q1030" s="41"/>
      <c r="R1030" s="41"/>
      <c r="S1030" s="41"/>
      <c r="T1030" s="41"/>
      <c r="U1030" s="41"/>
      <c r="V1030" s="41"/>
      <c r="W1030" s="41"/>
      <c r="X1030" s="41"/>
      <c r="Y1030" s="41"/>
      <c r="Z1030" s="41"/>
    </row>
    <row r="1031" spans="1:26" ht="15" thickBot="1">
      <c r="A1031" s="41"/>
      <c r="B1031" s="41"/>
      <c r="C1031" s="41"/>
      <c r="D1031" s="41"/>
      <c r="E1031" s="41"/>
      <c r="F1031" s="41"/>
      <c r="G1031" s="41"/>
      <c r="H1031" s="41"/>
      <c r="I1031" s="41"/>
      <c r="J1031" s="41"/>
      <c r="K1031" s="41"/>
      <c r="L1031" s="41"/>
      <c r="M1031" s="41"/>
      <c r="N1031" s="41"/>
      <c r="O1031" s="41"/>
      <c r="P1031" s="41"/>
      <c r="Q1031" s="41"/>
      <c r="R1031" s="41"/>
      <c r="S1031" s="41"/>
      <c r="T1031" s="41"/>
      <c r="U1031" s="41"/>
      <c r="V1031" s="41"/>
      <c r="W1031" s="41"/>
      <c r="X1031" s="41"/>
      <c r="Y1031" s="41"/>
      <c r="Z1031" s="41"/>
    </row>
    <row r="1032" spans="1:26" ht="15" thickBot="1">
      <c r="A1032" s="41"/>
      <c r="B1032" s="41"/>
      <c r="C1032" s="41"/>
      <c r="D1032" s="41"/>
      <c r="E1032" s="41"/>
      <c r="F1032" s="41"/>
      <c r="G1032" s="41"/>
      <c r="H1032" s="41"/>
      <c r="I1032" s="41"/>
      <c r="J1032" s="41"/>
      <c r="K1032" s="41"/>
      <c r="L1032" s="41"/>
      <c r="M1032" s="41"/>
      <c r="N1032" s="41"/>
      <c r="O1032" s="41"/>
      <c r="P1032" s="41"/>
      <c r="Q1032" s="41"/>
      <c r="R1032" s="41"/>
      <c r="S1032" s="41"/>
      <c r="T1032" s="41"/>
      <c r="U1032" s="41"/>
      <c r="V1032" s="41"/>
      <c r="W1032" s="41"/>
      <c r="X1032" s="41"/>
      <c r="Y1032" s="41"/>
      <c r="Z1032" s="41"/>
    </row>
    <row r="1033" spans="1:26" ht="15" thickBot="1">
      <c r="A1033" s="41"/>
      <c r="B1033" s="41"/>
      <c r="C1033" s="41"/>
      <c r="D1033" s="41"/>
      <c r="E1033" s="41"/>
      <c r="F1033" s="41"/>
      <c r="G1033" s="41"/>
      <c r="H1033" s="41"/>
      <c r="I1033" s="41"/>
      <c r="J1033" s="41"/>
      <c r="K1033" s="41"/>
      <c r="L1033" s="41"/>
      <c r="M1033" s="41"/>
      <c r="N1033" s="41"/>
      <c r="O1033" s="41"/>
      <c r="P1033" s="41"/>
      <c r="Q1033" s="41"/>
      <c r="R1033" s="41"/>
      <c r="S1033" s="41"/>
      <c r="T1033" s="41"/>
      <c r="U1033" s="41"/>
      <c r="V1033" s="41"/>
      <c r="W1033" s="41"/>
      <c r="X1033" s="41"/>
      <c r="Y1033" s="41"/>
      <c r="Z1033" s="41"/>
    </row>
    <row r="1034" spans="1:26" ht="15" thickBot="1">
      <c r="A1034" s="41"/>
      <c r="B1034" s="41"/>
      <c r="C1034" s="41"/>
      <c r="D1034" s="41"/>
      <c r="E1034" s="41"/>
      <c r="F1034" s="41"/>
      <c r="G1034" s="41"/>
      <c r="H1034" s="41"/>
      <c r="I1034" s="41"/>
      <c r="J1034" s="41"/>
      <c r="K1034" s="41"/>
      <c r="L1034" s="41"/>
      <c r="M1034" s="41"/>
      <c r="N1034" s="41"/>
      <c r="O1034" s="41"/>
      <c r="P1034" s="41"/>
      <c r="Q1034" s="41"/>
      <c r="R1034" s="41"/>
      <c r="S1034" s="41"/>
      <c r="T1034" s="41"/>
      <c r="U1034" s="41"/>
      <c r="V1034" s="41"/>
      <c r="W1034" s="41"/>
      <c r="X1034" s="41"/>
      <c r="Y1034" s="41"/>
      <c r="Z1034" s="41"/>
    </row>
    <row r="1035" spans="1:26" ht="15" thickBot="1">
      <c r="A1035" s="41"/>
      <c r="B1035" s="41"/>
      <c r="C1035" s="41"/>
      <c r="D1035" s="41"/>
      <c r="E1035" s="41"/>
      <c r="F1035" s="41"/>
      <c r="G1035" s="41"/>
      <c r="H1035" s="41"/>
      <c r="I1035" s="41"/>
      <c r="J1035" s="41"/>
      <c r="K1035" s="41"/>
      <c r="L1035" s="41"/>
      <c r="M1035" s="41"/>
      <c r="N1035" s="41"/>
      <c r="O1035" s="41"/>
      <c r="P1035" s="41"/>
      <c r="Q1035" s="41"/>
      <c r="R1035" s="41"/>
      <c r="S1035" s="41"/>
      <c r="T1035" s="41"/>
      <c r="U1035" s="41"/>
      <c r="V1035" s="41"/>
      <c r="W1035" s="41"/>
      <c r="X1035" s="41"/>
      <c r="Y1035" s="41"/>
      <c r="Z1035" s="41"/>
    </row>
    <row r="1036" spans="1:26" ht="15" thickBot="1">
      <c r="A1036" s="41"/>
      <c r="B1036" s="41"/>
      <c r="C1036" s="41"/>
      <c r="D1036" s="41"/>
      <c r="E1036" s="41"/>
      <c r="F1036" s="41"/>
      <c r="G1036" s="41"/>
      <c r="H1036" s="41"/>
      <c r="I1036" s="41"/>
      <c r="J1036" s="41"/>
      <c r="K1036" s="41"/>
      <c r="L1036" s="41"/>
      <c r="M1036" s="41"/>
      <c r="N1036" s="41"/>
      <c r="O1036" s="41"/>
      <c r="P1036" s="41"/>
      <c r="Q1036" s="41"/>
      <c r="R1036" s="41"/>
      <c r="S1036" s="41"/>
      <c r="T1036" s="41"/>
      <c r="U1036" s="41"/>
      <c r="V1036" s="41"/>
      <c r="W1036" s="41"/>
      <c r="X1036" s="41"/>
      <c r="Y1036" s="41"/>
      <c r="Z1036" s="41"/>
    </row>
    <row r="1037" spans="1:26" ht="15" thickBot="1">
      <c r="A1037" s="41"/>
      <c r="B1037" s="41"/>
      <c r="C1037" s="41"/>
      <c r="D1037" s="41"/>
      <c r="E1037" s="41"/>
      <c r="F1037" s="41"/>
      <c r="G1037" s="41"/>
      <c r="H1037" s="41"/>
      <c r="I1037" s="41"/>
      <c r="J1037" s="41"/>
      <c r="K1037" s="41"/>
      <c r="L1037" s="41"/>
      <c r="M1037" s="41"/>
      <c r="N1037" s="41"/>
      <c r="O1037" s="41"/>
      <c r="P1037" s="41"/>
      <c r="Q1037" s="41"/>
      <c r="R1037" s="41"/>
      <c r="S1037" s="41"/>
      <c r="T1037" s="41"/>
      <c r="U1037" s="41"/>
      <c r="V1037" s="41"/>
      <c r="W1037" s="41"/>
      <c r="X1037" s="41"/>
      <c r="Y1037" s="41"/>
      <c r="Z1037" s="41"/>
    </row>
    <row r="1038" spans="1:26" ht="15" thickBot="1">
      <c r="A1038" s="41"/>
      <c r="B1038" s="41"/>
      <c r="C1038" s="41"/>
      <c r="D1038" s="41"/>
      <c r="E1038" s="41"/>
      <c r="F1038" s="41"/>
      <c r="G1038" s="41"/>
      <c r="H1038" s="41"/>
      <c r="I1038" s="41"/>
      <c r="J1038" s="41"/>
      <c r="K1038" s="41"/>
      <c r="L1038" s="41"/>
      <c r="M1038" s="41"/>
      <c r="N1038" s="41"/>
      <c r="O1038" s="41"/>
      <c r="P1038" s="41"/>
      <c r="Q1038" s="41"/>
      <c r="R1038" s="41"/>
      <c r="S1038" s="41"/>
      <c r="T1038" s="41"/>
      <c r="U1038" s="41"/>
      <c r="V1038" s="41"/>
      <c r="W1038" s="41"/>
      <c r="X1038" s="41"/>
      <c r="Y1038" s="41"/>
      <c r="Z1038" s="41"/>
    </row>
    <row r="1039" spans="1:26" ht="15" thickBot="1">
      <c r="A1039" s="41"/>
      <c r="B1039" s="41"/>
      <c r="C1039" s="41"/>
      <c r="D1039" s="41"/>
      <c r="E1039" s="41"/>
      <c r="F1039" s="41"/>
      <c r="G1039" s="41"/>
      <c r="H1039" s="41"/>
      <c r="I1039" s="41"/>
      <c r="J1039" s="41"/>
      <c r="K1039" s="41"/>
      <c r="L1039" s="41"/>
      <c r="M1039" s="41"/>
      <c r="N1039" s="41"/>
      <c r="O1039" s="41"/>
      <c r="P1039" s="41"/>
      <c r="Q1039" s="41"/>
      <c r="R1039" s="41"/>
      <c r="S1039" s="41"/>
      <c r="T1039" s="41"/>
      <c r="U1039" s="41"/>
      <c r="V1039" s="41"/>
      <c r="W1039" s="41"/>
      <c r="X1039" s="41"/>
      <c r="Y1039" s="41"/>
      <c r="Z1039" s="41"/>
    </row>
    <row r="1040" spans="1:26" ht="15" thickBot="1">
      <c r="A1040" s="41"/>
      <c r="B1040" s="41"/>
      <c r="C1040" s="41"/>
      <c r="D1040" s="41"/>
      <c r="E1040" s="41"/>
      <c r="F1040" s="41"/>
      <c r="G1040" s="41"/>
      <c r="H1040" s="41"/>
      <c r="I1040" s="41"/>
      <c r="J1040" s="41"/>
      <c r="K1040" s="41"/>
      <c r="L1040" s="41"/>
      <c r="M1040" s="41"/>
      <c r="N1040" s="41"/>
      <c r="O1040" s="41"/>
      <c r="P1040" s="41"/>
      <c r="Q1040" s="41"/>
      <c r="R1040" s="41"/>
      <c r="S1040" s="41"/>
      <c r="T1040" s="41"/>
      <c r="U1040" s="41"/>
      <c r="V1040" s="41"/>
      <c r="W1040" s="41"/>
      <c r="X1040" s="41"/>
      <c r="Y1040" s="41"/>
      <c r="Z1040" s="41"/>
    </row>
    <row r="1041" spans="1:26" ht="15" thickBot="1">
      <c r="A1041" s="41"/>
      <c r="B1041" s="41"/>
      <c r="C1041" s="41"/>
      <c r="D1041" s="41"/>
      <c r="E1041" s="41"/>
      <c r="F1041" s="41"/>
      <c r="G1041" s="41"/>
      <c r="H1041" s="41"/>
      <c r="I1041" s="41"/>
      <c r="J1041" s="41"/>
      <c r="K1041" s="41"/>
      <c r="L1041" s="41"/>
      <c r="M1041" s="41"/>
      <c r="N1041" s="41"/>
      <c r="O1041" s="41"/>
      <c r="P1041" s="41"/>
      <c r="Q1041" s="41"/>
      <c r="R1041" s="41"/>
      <c r="S1041" s="41"/>
      <c r="T1041" s="41"/>
      <c r="U1041" s="41"/>
      <c r="V1041" s="41"/>
      <c r="W1041" s="41"/>
      <c r="X1041" s="41"/>
      <c r="Y1041" s="41"/>
      <c r="Z1041" s="41"/>
    </row>
    <row r="1042" spans="1:26" ht="15" thickBot="1">
      <c r="A1042" s="41"/>
      <c r="B1042" s="41"/>
      <c r="C1042" s="41"/>
      <c r="D1042" s="41"/>
      <c r="E1042" s="41"/>
      <c r="F1042" s="41"/>
      <c r="G1042" s="41"/>
      <c r="H1042" s="41"/>
      <c r="I1042" s="41"/>
      <c r="J1042" s="41"/>
      <c r="K1042" s="41"/>
      <c r="L1042" s="41"/>
      <c r="M1042" s="41"/>
      <c r="N1042" s="41"/>
      <c r="O1042" s="41"/>
      <c r="P1042" s="41"/>
      <c r="Q1042" s="41"/>
      <c r="R1042" s="41"/>
      <c r="S1042" s="41"/>
      <c r="T1042" s="41"/>
      <c r="U1042" s="41"/>
      <c r="V1042" s="41"/>
      <c r="W1042" s="41"/>
      <c r="X1042" s="41"/>
      <c r="Y1042" s="41"/>
      <c r="Z1042" s="41"/>
    </row>
    <row r="1043" spans="1:26" ht="15" thickBot="1">
      <c r="A1043" s="41"/>
      <c r="B1043" s="41"/>
      <c r="C1043" s="41"/>
      <c r="D1043" s="41"/>
      <c r="E1043" s="41"/>
      <c r="F1043" s="41"/>
      <c r="G1043" s="41"/>
      <c r="H1043" s="41"/>
      <c r="I1043" s="41"/>
      <c r="J1043" s="41"/>
      <c r="K1043" s="41"/>
      <c r="L1043" s="41"/>
      <c r="M1043" s="41"/>
      <c r="N1043" s="41"/>
      <c r="O1043" s="41"/>
      <c r="P1043" s="41"/>
      <c r="Q1043" s="41"/>
      <c r="R1043" s="41"/>
      <c r="S1043" s="41"/>
      <c r="T1043" s="41"/>
      <c r="U1043" s="41"/>
      <c r="V1043" s="41"/>
      <c r="W1043" s="41"/>
      <c r="X1043" s="41"/>
      <c r="Y1043" s="41"/>
      <c r="Z1043" s="41"/>
    </row>
    <row r="1044" spans="1:26" ht="15" thickBot="1">
      <c r="A1044" s="41"/>
      <c r="B1044" s="41"/>
      <c r="C1044" s="41"/>
      <c r="D1044" s="41"/>
      <c r="E1044" s="41"/>
      <c r="F1044" s="41"/>
      <c r="G1044" s="41"/>
      <c r="H1044" s="41"/>
      <c r="I1044" s="41"/>
      <c r="J1044" s="41"/>
      <c r="K1044" s="41"/>
      <c r="L1044" s="41"/>
      <c r="M1044" s="41"/>
      <c r="N1044" s="41"/>
      <c r="O1044" s="41"/>
      <c r="P1044" s="41"/>
      <c r="Q1044" s="41"/>
      <c r="R1044" s="41"/>
      <c r="S1044" s="41"/>
      <c r="T1044" s="41"/>
      <c r="U1044" s="41"/>
      <c r="V1044" s="41"/>
      <c r="W1044" s="41"/>
      <c r="X1044" s="41"/>
      <c r="Y1044" s="41"/>
      <c r="Z1044" s="41"/>
    </row>
    <row r="1045" spans="1:26" ht="15" thickBot="1">
      <c r="A1045" s="41"/>
      <c r="B1045" s="41"/>
      <c r="C1045" s="41"/>
      <c r="D1045" s="41"/>
      <c r="E1045" s="41"/>
      <c r="F1045" s="41"/>
      <c r="G1045" s="41"/>
      <c r="H1045" s="41"/>
      <c r="I1045" s="41"/>
      <c r="J1045" s="41"/>
      <c r="K1045" s="41"/>
      <c r="L1045" s="41"/>
      <c r="M1045" s="41"/>
      <c r="N1045" s="41"/>
      <c r="O1045" s="41"/>
      <c r="P1045" s="41"/>
      <c r="Q1045" s="41"/>
      <c r="R1045" s="41"/>
      <c r="S1045" s="41"/>
      <c r="T1045" s="41"/>
      <c r="U1045" s="41"/>
      <c r="V1045" s="41"/>
      <c r="W1045" s="41"/>
      <c r="X1045" s="41"/>
      <c r="Y1045" s="41"/>
      <c r="Z1045" s="41"/>
    </row>
    <row r="1046" spans="1:26" ht="15" thickBot="1">
      <c r="A1046" s="41"/>
      <c r="B1046" s="41"/>
      <c r="C1046" s="41"/>
      <c r="D1046" s="41"/>
      <c r="E1046" s="41"/>
      <c r="F1046" s="41"/>
      <c r="G1046" s="41"/>
      <c r="H1046" s="41"/>
      <c r="I1046" s="41"/>
      <c r="J1046" s="41"/>
      <c r="K1046" s="41"/>
      <c r="L1046" s="41"/>
      <c r="M1046" s="41"/>
      <c r="N1046" s="41"/>
      <c r="O1046" s="41"/>
      <c r="P1046" s="41"/>
      <c r="Q1046" s="41"/>
      <c r="R1046" s="41"/>
      <c r="S1046" s="41"/>
      <c r="T1046" s="41"/>
      <c r="U1046" s="41"/>
      <c r="V1046" s="41"/>
      <c r="W1046" s="41"/>
      <c r="X1046" s="41"/>
      <c r="Y1046" s="41"/>
      <c r="Z1046" s="41"/>
    </row>
    <row r="1047" spans="1:26" ht="15" thickBot="1">
      <c r="A1047" s="41"/>
      <c r="B1047" s="41"/>
      <c r="C1047" s="41"/>
      <c r="D1047" s="41"/>
      <c r="E1047" s="41"/>
      <c r="F1047" s="41"/>
      <c r="G1047" s="41"/>
      <c r="H1047" s="41"/>
      <c r="I1047" s="41"/>
      <c r="J1047" s="41"/>
      <c r="K1047" s="41"/>
      <c r="L1047" s="41"/>
      <c r="M1047" s="41"/>
      <c r="N1047" s="41"/>
      <c r="O1047" s="41"/>
      <c r="P1047" s="41"/>
      <c r="Q1047" s="41"/>
      <c r="R1047" s="41"/>
      <c r="S1047" s="41"/>
      <c r="T1047" s="41"/>
      <c r="U1047" s="41"/>
      <c r="V1047" s="41"/>
      <c r="W1047" s="41"/>
      <c r="X1047" s="41"/>
      <c r="Y1047" s="41"/>
      <c r="Z1047" s="41"/>
    </row>
    <row r="1048" spans="1:26" ht="15" thickBot="1">
      <c r="A1048" s="41"/>
      <c r="B1048" s="41"/>
      <c r="C1048" s="41"/>
      <c r="D1048" s="41"/>
      <c r="E1048" s="41"/>
      <c r="F1048" s="41"/>
      <c r="G1048" s="41"/>
      <c r="H1048" s="41"/>
      <c r="I1048" s="41"/>
      <c r="J1048" s="41"/>
      <c r="K1048" s="41"/>
      <c r="L1048" s="41"/>
      <c r="M1048" s="41"/>
      <c r="N1048" s="41"/>
      <c r="O1048" s="41"/>
      <c r="P1048" s="41"/>
      <c r="Q1048" s="41"/>
      <c r="R1048" s="41"/>
      <c r="S1048" s="41"/>
      <c r="T1048" s="41"/>
      <c r="U1048" s="41"/>
      <c r="V1048" s="41"/>
      <c r="W1048" s="41"/>
      <c r="X1048" s="41"/>
      <c r="Y1048" s="41"/>
      <c r="Z1048" s="41"/>
    </row>
    <row r="1049" spans="1:26" ht="15" thickBot="1">
      <c r="A1049" s="41"/>
      <c r="B1049" s="41"/>
      <c r="C1049" s="41"/>
      <c r="D1049" s="41"/>
      <c r="E1049" s="41"/>
      <c r="F1049" s="41"/>
      <c r="G1049" s="41"/>
      <c r="H1049" s="41"/>
      <c r="I1049" s="41"/>
      <c r="J1049" s="41"/>
      <c r="K1049" s="41"/>
      <c r="L1049" s="41"/>
      <c r="M1049" s="41"/>
      <c r="N1049" s="41"/>
      <c r="O1049" s="41"/>
      <c r="P1049" s="41"/>
      <c r="Q1049" s="41"/>
      <c r="R1049" s="41"/>
      <c r="S1049" s="41"/>
      <c r="T1049" s="41"/>
      <c r="U1049" s="41"/>
      <c r="V1049" s="41"/>
      <c r="W1049" s="41"/>
      <c r="X1049" s="41"/>
      <c r="Y1049" s="41"/>
      <c r="Z1049" s="41"/>
    </row>
    <row r="1050" spans="1:26" ht="15" thickBot="1">
      <c r="A1050" s="41"/>
      <c r="B1050" s="41"/>
      <c r="C1050" s="41"/>
      <c r="D1050" s="41"/>
      <c r="E1050" s="41"/>
      <c r="F1050" s="41"/>
      <c r="G1050" s="41"/>
      <c r="H1050" s="41"/>
      <c r="I1050" s="41"/>
      <c r="J1050" s="41"/>
      <c r="K1050" s="41"/>
      <c r="L1050" s="41"/>
      <c r="M1050" s="41"/>
      <c r="N1050" s="41"/>
      <c r="O1050" s="41"/>
      <c r="P1050" s="41"/>
      <c r="Q1050" s="41"/>
      <c r="R1050" s="41"/>
      <c r="S1050" s="41"/>
      <c r="T1050" s="41"/>
      <c r="U1050" s="41"/>
      <c r="V1050" s="41"/>
      <c r="W1050" s="41"/>
      <c r="X1050" s="41"/>
      <c r="Y1050" s="41"/>
      <c r="Z1050" s="41"/>
    </row>
    <row r="1051" spans="1:26" ht="15" thickBot="1">
      <c r="A1051" s="41"/>
      <c r="B1051" s="41"/>
      <c r="C1051" s="41"/>
      <c r="D1051" s="41"/>
      <c r="E1051" s="41"/>
      <c r="F1051" s="41"/>
      <c r="G1051" s="41"/>
      <c r="H1051" s="41"/>
      <c r="I1051" s="41"/>
      <c r="J1051" s="41"/>
      <c r="K1051" s="41"/>
      <c r="L1051" s="41"/>
      <c r="M1051" s="41"/>
      <c r="N1051" s="41"/>
      <c r="O1051" s="41"/>
      <c r="P1051" s="41"/>
      <c r="Q1051" s="41"/>
      <c r="R1051" s="41"/>
      <c r="S1051" s="41"/>
      <c r="T1051" s="41"/>
      <c r="U1051" s="41"/>
      <c r="V1051" s="41"/>
      <c r="W1051" s="41"/>
      <c r="X1051" s="41"/>
      <c r="Y1051" s="41"/>
      <c r="Z1051" s="41"/>
    </row>
    <row r="1052" spans="1:26" ht="15" thickBot="1">
      <c r="A1052" s="41"/>
      <c r="B1052" s="41"/>
      <c r="C1052" s="41"/>
      <c r="D1052" s="41"/>
      <c r="E1052" s="41"/>
      <c r="F1052" s="41"/>
      <c r="G1052" s="41"/>
      <c r="H1052" s="41"/>
      <c r="I1052" s="41"/>
      <c r="J1052" s="41"/>
      <c r="K1052" s="41"/>
      <c r="L1052" s="41"/>
      <c r="M1052" s="41"/>
      <c r="N1052" s="41"/>
      <c r="O1052" s="41"/>
      <c r="P1052" s="41"/>
      <c r="Q1052" s="41"/>
      <c r="R1052" s="41"/>
      <c r="S1052" s="41"/>
      <c r="T1052" s="41"/>
      <c r="U1052" s="41"/>
      <c r="V1052" s="41"/>
      <c r="W1052" s="41"/>
      <c r="X1052" s="41"/>
      <c r="Y1052" s="41"/>
      <c r="Z1052" s="41"/>
    </row>
    <row r="1053" spans="1:26" ht="15" thickBot="1">
      <c r="A1053" s="41"/>
      <c r="B1053" s="41"/>
      <c r="C1053" s="41"/>
      <c r="D1053" s="41"/>
      <c r="E1053" s="41"/>
      <c r="F1053" s="41"/>
      <c r="G1053" s="41"/>
      <c r="H1053" s="41"/>
      <c r="I1053" s="41"/>
      <c r="J1053" s="41"/>
      <c r="K1053" s="41"/>
      <c r="L1053" s="41"/>
      <c r="M1053" s="41"/>
      <c r="N1053" s="41"/>
      <c r="O1053" s="41"/>
      <c r="P1053" s="41"/>
      <c r="Q1053" s="41"/>
      <c r="R1053" s="41"/>
      <c r="S1053" s="41"/>
      <c r="T1053" s="41"/>
      <c r="U1053" s="41"/>
      <c r="V1053" s="41"/>
      <c r="W1053" s="41"/>
      <c r="X1053" s="41"/>
      <c r="Y1053" s="41"/>
      <c r="Z1053" s="41"/>
    </row>
    <row r="1054" spans="1:26" ht="15" thickBot="1">
      <c r="A1054" s="41"/>
      <c r="B1054" s="41"/>
      <c r="C1054" s="41"/>
      <c r="D1054" s="41"/>
      <c r="E1054" s="41"/>
      <c r="F1054" s="41"/>
      <c r="G1054" s="41"/>
      <c r="H1054" s="41"/>
      <c r="I1054" s="41"/>
      <c r="J1054" s="41"/>
      <c r="K1054" s="41"/>
      <c r="L1054" s="41"/>
      <c r="M1054" s="41"/>
      <c r="N1054" s="41"/>
      <c r="O1054" s="41"/>
      <c r="P1054" s="41"/>
      <c r="Q1054" s="41"/>
      <c r="R1054" s="41"/>
      <c r="S1054" s="41"/>
      <c r="T1054" s="41"/>
      <c r="U1054" s="41"/>
      <c r="V1054" s="41"/>
      <c r="W1054" s="41"/>
      <c r="X1054" s="41"/>
      <c r="Y1054" s="41"/>
      <c r="Z1054" s="41"/>
    </row>
    <row r="1055" spans="1:26" ht="15" thickBot="1">
      <c r="A1055" s="41"/>
      <c r="B1055" s="41"/>
      <c r="C1055" s="41"/>
      <c r="D1055" s="41"/>
      <c r="E1055" s="41"/>
      <c r="F1055" s="41"/>
      <c r="G1055" s="41"/>
      <c r="H1055" s="41"/>
      <c r="I1055" s="41"/>
      <c r="J1055" s="41"/>
      <c r="K1055" s="41"/>
      <c r="L1055" s="41"/>
      <c r="M1055" s="41"/>
      <c r="N1055" s="41"/>
      <c r="O1055" s="41"/>
      <c r="P1055" s="41"/>
      <c r="Q1055" s="41"/>
      <c r="R1055" s="41"/>
      <c r="S1055" s="41"/>
      <c r="T1055" s="41"/>
      <c r="U1055" s="41"/>
      <c r="V1055" s="41"/>
      <c r="W1055" s="41"/>
      <c r="X1055" s="41"/>
      <c r="Y1055" s="41"/>
      <c r="Z1055" s="41"/>
    </row>
    <row r="1056" spans="1:26" ht="15" thickBot="1">
      <c r="A1056" s="41"/>
      <c r="B1056" s="41"/>
      <c r="C1056" s="41"/>
      <c r="D1056" s="41"/>
      <c r="E1056" s="41"/>
      <c r="F1056" s="41"/>
      <c r="G1056" s="41"/>
      <c r="H1056" s="41"/>
      <c r="I1056" s="41"/>
      <c r="J1056" s="41"/>
      <c r="K1056" s="41"/>
      <c r="L1056" s="41"/>
      <c r="M1056" s="41"/>
      <c r="N1056" s="41"/>
      <c r="O1056" s="41"/>
      <c r="P1056" s="41"/>
      <c r="Q1056" s="41"/>
      <c r="R1056" s="41"/>
      <c r="S1056" s="41"/>
      <c r="T1056" s="41"/>
      <c r="U1056" s="41"/>
      <c r="V1056" s="41"/>
      <c r="W1056" s="41"/>
      <c r="X1056" s="41"/>
      <c r="Y1056" s="41"/>
      <c r="Z1056" s="41"/>
    </row>
    <row r="1057" spans="1:26" ht="15" thickBot="1">
      <c r="A1057" s="41"/>
      <c r="B1057" s="41"/>
      <c r="C1057" s="41"/>
      <c r="D1057" s="41"/>
      <c r="E1057" s="41"/>
      <c r="F1057" s="41"/>
      <c r="G1057" s="41"/>
      <c r="H1057" s="41"/>
      <c r="I1057" s="41"/>
      <c r="J1057" s="41"/>
      <c r="K1057" s="41"/>
      <c r="L1057" s="41"/>
      <c r="M1057" s="41"/>
      <c r="N1057" s="41"/>
      <c r="O1057" s="41"/>
      <c r="P1057" s="41"/>
      <c r="Q1057" s="41"/>
      <c r="R1057" s="41"/>
      <c r="S1057" s="41"/>
      <c r="T1057" s="41"/>
      <c r="U1057" s="41"/>
      <c r="V1057" s="41"/>
      <c r="W1057" s="41"/>
      <c r="X1057" s="41"/>
      <c r="Y1057" s="41"/>
      <c r="Z1057" s="41"/>
    </row>
    <row r="1058" spans="1:26" ht="15" thickBot="1">
      <c r="A1058" s="41"/>
      <c r="B1058" s="41"/>
      <c r="C1058" s="41"/>
      <c r="D1058" s="41"/>
      <c r="E1058" s="41"/>
      <c r="F1058" s="41"/>
      <c r="G1058" s="41"/>
      <c r="H1058" s="41"/>
      <c r="I1058" s="41"/>
      <c r="J1058" s="41"/>
      <c r="K1058" s="41"/>
      <c r="L1058" s="41"/>
      <c r="M1058" s="41"/>
      <c r="N1058" s="41"/>
      <c r="O1058" s="41"/>
      <c r="P1058" s="41"/>
      <c r="Q1058" s="41"/>
      <c r="R1058" s="41"/>
      <c r="S1058" s="41"/>
      <c r="T1058" s="41"/>
      <c r="U1058" s="41"/>
      <c r="V1058" s="41"/>
      <c r="W1058" s="41"/>
      <c r="X1058" s="41"/>
      <c r="Y1058" s="41"/>
      <c r="Z1058" s="41"/>
    </row>
    <row r="1059" spans="1:26" ht="15" thickBot="1">
      <c r="A1059" s="41"/>
      <c r="B1059" s="41"/>
      <c r="C1059" s="41"/>
      <c r="D1059" s="41"/>
      <c r="E1059" s="41"/>
      <c r="F1059" s="41"/>
      <c r="G1059" s="41"/>
      <c r="H1059" s="41"/>
      <c r="I1059" s="41"/>
      <c r="J1059" s="41"/>
      <c r="K1059" s="41"/>
      <c r="L1059" s="41"/>
      <c r="M1059" s="41"/>
      <c r="N1059" s="41"/>
      <c r="O1059" s="41"/>
      <c r="P1059" s="41"/>
      <c r="Q1059" s="41"/>
      <c r="R1059" s="41"/>
      <c r="S1059" s="41"/>
      <c r="T1059" s="41"/>
      <c r="U1059" s="41"/>
      <c r="V1059" s="41"/>
      <c r="W1059" s="41"/>
      <c r="X1059" s="41"/>
      <c r="Y1059" s="41"/>
      <c r="Z1059" s="41"/>
    </row>
    <row r="1060" spans="1:26" ht="15" thickBot="1">
      <c r="A1060" s="41"/>
      <c r="B1060" s="41"/>
      <c r="C1060" s="41"/>
      <c r="D1060" s="41"/>
      <c r="E1060" s="41"/>
      <c r="F1060" s="41"/>
      <c r="G1060" s="41"/>
      <c r="H1060" s="41"/>
      <c r="I1060" s="41"/>
      <c r="J1060" s="41"/>
      <c r="K1060" s="41"/>
      <c r="L1060" s="41"/>
      <c r="M1060" s="41"/>
      <c r="N1060" s="41"/>
      <c r="O1060" s="41"/>
      <c r="P1060" s="41"/>
      <c r="Q1060" s="41"/>
      <c r="R1060" s="41"/>
      <c r="S1060" s="41"/>
      <c r="T1060" s="41"/>
      <c r="U1060" s="41"/>
      <c r="V1060" s="41"/>
      <c r="W1060" s="41"/>
      <c r="X1060" s="41"/>
      <c r="Y1060" s="41"/>
      <c r="Z1060" s="41"/>
    </row>
  </sheetData>
  <mergeCells count="17">
    <mergeCell ref="A290:C290"/>
    <mergeCell ref="A301:C301"/>
    <mergeCell ref="A313:C313"/>
    <mergeCell ref="A342:C342"/>
    <mergeCell ref="A367:C367"/>
    <mergeCell ref="A51:C51"/>
    <mergeCell ref="A123:C123"/>
    <mergeCell ref="A158:C158"/>
    <mergeCell ref="A165:C165"/>
    <mergeCell ref="A205:C205"/>
    <mergeCell ref="A280:C280"/>
    <mergeCell ref="A1:C1"/>
    <mergeCell ref="A2:C2"/>
    <mergeCell ref="A3:C3"/>
    <mergeCell ref="A26:C26"/>
    <mergeCell ref="A27:C27"/>
    <mergeCell ref="A41:C4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9"/>
  <sheetViews>
    <sheetView tabSelected="1" topLeftCell="A267" workbookViewId="0">
      <selection activeCell="H275" sqref="H275"/>
    </sheetView>
  </sheetViews>
  <sheetFormatPr defaultRowHeight="14.4"/>
  <cols>
    <col min="1" max="1" width="37.77734375" customWidth="1"/>
  </cols>
  <sheetData>
    <row r="1" spans="1:12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17.399999999999999">
      <c r="A2" s="310" t="s">
        <v>316</v>
      </c>
      <c r="B2" s="310"/>
      <c r="C2" s="310"/>
      <c r="D2" s="42"/>
      <c r="E2" s="42"/>
      <c r="F2" s="42"/>
      <c r="G2" s="42"/>
      <c r="H2" s="42"/>
      <c r="I2" s="42"/>
      <c r="J2" s="42"/>
      <c r="K2" s="42"/>
      <c r="L2" s="42"/>
    </row>
    <row r="3" spans="1:12">
      <c r="A3" s="186"/>
      <c r="B3" s="187"/>
      <c r="C3" s="187"/>
      <c r="D3" s="42"/>
      <c r="E3" s="42"/>
      <c r="F3" s="42"/>
      <c r="G3" s="42"/>
      <c r="H3" s="42"/>
      <c r="I3" s="42"/>
      <c r="J3" s="42"/>
      <c r="K3" s="42"/>
      <c r="L3" s="42"/>
    </row>
    <row r="4" spans="1:12">
      <c r="A4" s="188" t="s">
        <v>40</v>
      </c>
      <c r="B4" s="189" t="s">
        <v>317</v>
      </c>
      <c r="C4" s="189" t="s">
        <v>318</v>
      </c>
      <c r="D4" s="42"/>
      <c r="E4" s="42"/>
      <c r="F4" s="42"/>
      <c r="G4" s="42"/>
      <c r="H4" s="42"/>
      <c r="I4" s="42"/>
      <c r="J4" s="42"/>
      <c r="K4" s="42"/>
      <c r="L4" s="42"/>
    </row>
    <row r="5" spans="1:12">
      <c r="A5" s="190" t="s">
        <v>319</v>
      </c>
      <c r="B5" s="191">
        <v>1559423</v>
      </c>
      <c r="C5" s="191">
        <v>1357069</v>
      </c>
      <c r="D5" s="42"/>
      <c r="E5" s="42"/>
      <c r="F5" s="192"/>
      <c r="G5" s="42"/>
      <c r="H5" s="42"/>
      <c r="I5" s="42"/>
      <c r="J5" s="42"/>
      <c r="K5" s="42"/>
      <c r="L5" s="42"/>
    </row>
    <row r="6" spans="1:12">
      <c r="A6" s="190" t="s">
        <v>320</v>
      </c>
      <c r="B6" s="191">
        <v>173914</v>
      </c>
      <c r="C6" s="191">
        <v>147298</v>
      </c>
      <c r="D6" s="42"/>
      <c r="E6" s="42"/>
      <c r="F6" s="42"/>
      <c r="G6" s="42"/>
      <c r="H6" s="42"/>
      <c r="I6" s="42"/>
      <c r="J6" s="42"/>
      <c r="K6" s="42"/>
      <c r="L6" s="42"/>
    </row>
    <row r="7" spans="1:12">
      <c r="A7" s="190"/>
      <c r="B7" s="193">
        <v>1733337</v>
      </c>
      <c r="C7" s="193">
        <v>1504367</v>
      </c>
      <c r="D7" s="42"/>
      <c r="E7" s="42"/>
      <c r="F7" s="194"/>
      <c r="G7" s="42"/>
      <c r="H7" s="42"/>
      <c r="I7" s="42"/>
      <c r="J7" s="42"/>
      <c r="K7" s="42"/>
      <c r="L7" s="42"/>
    </row>
    <row r="8" spans="1:12">
      <c r="A8" s="190" t="s">
        <v>321</v>
      </c>
      <c r="B8" s="191"/>
      <c r="C8" s="191"/>
      <c r="D8" s="42"/>
      <c r="E8" s="42"/>
      <c r="F8" s="42"/>
      <c r="G8" s="42"/>
      <c r="H8" s="42"/>
      <c r="I8" s="42"/>
      <c r="J8" s="42"/>
      <c r="K8" s="42"/>
      <c r="L8" s="42"/>
    </row>
    <row r="9" spans="1:12">
      <c r="A9" s="190" t="s">
        <v>322</v>
      </c>
      <c r="B9" s="191">
        <v>500</v>
      </c>
      <c r="C9" s="191">
        <v>879</v>
      </c>
      <c r="D9" s="42"/>
      <c r="E9" s="42"/>
      <c r="F9" s="195"/>
      <c r="G9" s="42"/>
      <c r="H9" s="42"/>
      <c r="I9" s="42"/>
      <c r="J9" s="42"/>
      <c r="K9" s="42"/>
      <c r="L9" s="42"/>
    </row>
    <row r="10" spans="1:12">
      <c r="A10" s="190" t="s">
        <v>323</v>
      </c>
      <c r="B10" s="191">
        <v>312</v>
      </c>
      <c r="C10" s="191">
        <v>360</v>
      </c>
      <c r="D10" s="42"/>
      <c r="E10" s="42"/>
      <c r="F10" s="42"/>
      <c r="G10" s="42"/>
      <c r="H10" s="42"/>
      <c r="I10" s="42"/>
      <c r="J10" s="42"/>
      <c r="K10" s="196"/>
      <c r="L10" s="196"/>
    </row>
    <row r="11" spans="1:12">
      <c r="A11" s="190" t="s">
        <v>324</v>
      </c>
      <c r="B11" s="191">
        <v>658</v>
      </c>
      <c r="C11" s="191">
        <v>643</v>
      </c>
      <c r="D11" s="42"/>
      <c r="E11" s="42"/>
      <c r="F11" s="195"/>
      <c r="G11" s="42"/>
      <c r="H11" s="42"/>
      <c r="I11" s="42"/>
      <c r="J11" s="42"/>
      <c r="K11" s="42"/>
      <c r="L11" s="42"/>
    </row>
    <row r="12" spans="1:12">
      <c r="A12" s="190" t="s">
        <v>325</v>
      </c>
      <c r="B12" s="191">
        <v>1469</v>
      </c>
      <c r="C12" s="191">
        <v>1202</v>
      </c>
      <c r="D12" s="42"/>
      <c r="E12" s="42"/>
      <c r="F12" s="42"/>
      <c r="G12" s="42"/>
      <c r="H12" s="42"/>
      <c r="I12" s="42"/>
      <c r="J12" s="42"/>
      <c r="K12" s="42"/>
      <c r="L12" s="42"/>
    </row>
    <row r="13" spans="1:12">
      <c r="A13" s="190" t="s">
        <v>326</v>
      </c>
      <c r="B13" s="191">
        <v>238</v>
      </c>
      <c r="C13" s="191">
        <v>246</v>
      </c>
      <c r="D13" s="42"/>
      <c r="E13" s="42"/>
      <c r="F13" s="195"/>
      <c r="G13" s="42"/>
      <c r="H13" s="42"/>
      <c r="I13" s="42"/>
      <c r="J13" s="42"/>
      <c r="K13" s="196"/>
      <c r="L13" s="196"/>
    </row>
    <row r="14" spans="1:12">
      <c r="A14" s="190" t="s">
        <v>327</v>
      </c>
      <c r="B14" s="191">
        <v>54</v>
      </c>
      <c r="C14" s="191">
        <v>47</v>
      </c>
      <c r="D14" s="42"/>
      <c r="E14" s="42"/>
      <c r="F14" s="42"/>
      <c r="G14" s="42"/>
      <c r="H14" s="42"/>
      <c r="I14" s="42"/>
      <c r="J14" s="42"/>
      <c r="K14" s="42"/>
      <c r="L14" s="42"/>
    </row>
    <row r="15" spans="1:12">
      <c r="A15" s="190" t="s">
        <v>328</v>
      </c>
      <c r="B15" s="191"/>
      <c r="C15" s="191"/>
      <c r="D15" s="42"/>
      <c r="E15" s="42"/>
      <c r="F15" s="192"/>
      <c r="G15" s="42"/>
      <c r="H15" s="42"/>
      <c r="I15" s="42"/>
      <c r="J15" s="42"/>
      <c r="K15" s="42"/>
      <c r="L15" s="42"/>
    </row>
    <row r="16" spans="1:12">
      <c r="A16" s="190" t="s">
        <v>329</v>
      </c>
      <c r="B16" s="191">
        <v>8794</v>
      </c>
      <c r="C16" s="191">
        <v>8264</v>
      </c>
      <c r="D16" s="42"/>
      <c r="E16" s="42"/>
      <c r="F16" s="42"/>
      <c r="G16" s="42"/>
      <c r="H16" s="42"/>
      <c r="I16" s="42"/>
      <c r="J16" s="42"/>
      <c r="K16" s="42"/>
      <c r="L16" s="42"/>
    </row>
    <row r="17" spans="1:12">
      <c r="A17" s="190" t="s">
        <v>330</v>
      </c>
      <c r="B17" s="191">
        <v>2867</v>
      </c>
      <c r="C17" s="191">
        <v>2957</v>
      </c>
      <c r="D17" s="42"/>
      <c r="E17" s="42"/>
      <c r="F17" s="195"/>
      <c r="G17" s="42"/>
      <c r="H17" s="42"/>
      <c r="I17" s="42"/>
      <c r="J17" s="42"/>
      <c r="K17" s="42"/>
      <c r="L17" s="42"/>
    </row>
    <row r="18" spans="1:12">
      <c r="A18" s="190" t="s">
        <v>331</v>
      </c>
      <c r="B18" s="191">
        <v>360</v>
      </c>
      <c r="C18" s="191">
        <v>108</v>
      </c>
      <c r="D18" s="42"/>
      <c r="E18" s="42"/>
      <c r="F18" s="42"/>
      <c r="G18" s="42"/>
      <c r="H18" s="42"/>
      <c r="I18" s="42"/>
      <c r="J18" s="42"/>
      <c r="K18" s="42"/>
      <c r="L18" s="42"/>
    </row>
    <row r="19" spans="1:12">
      <c r="A19" s="190"/>
      <c r="B19" s="193">
        <v>12021</v>
      </c>
      <c r="C19" s="193">
        <v>11329</v>
      </c>
      <c r="D19" s="42"/>
      <c r="E19" s="42"/>
      <c r="F19" s="195"/>
      <c r="G19" s="42"/>
      <c r="H19" s="42"/>
      <c r="I19" s="42"/>
      <c r="J19" s="42"/>
      <c r="K19" s="42"/>
      <c r="L19" s="42"/>
    </row>
    <row r="20" spans="1:12">
      <c r="A20" s="190" t="s">
        <v>332</v>
      </c>
      <c r="B20" s="191">
        <v>860</v>
      </c>
      <c r="C20" s="191">
        <v>622</v>
      </c>
      <c r="D20" s="42"/>
      <c r="E20" s="42"/>
      <c r="F20" s="42"/>
      <c r="G20" s="42"/>
      <c r="H20" s="42"/>
      <c r="I20" s="42"/>
      <c r="J20" s="42"/>
      <c r="K20" s="42"/>
      <c r="L20" s="42"/>
    </row>
    <row r="21" spans="1:12">
      <c r="A21" s="190" t="s">
        <v>333</v>
      </c>
      <c r="B21" s="191" t="s">
        <v>35</v>
      </c>
      <c r="C21" s="191">
        <v>112</v>
      </c>
      <c r="D21" s="42"/>
      <c r="E21" s="42"/>
      <c r="F21" s="192"/>
      <c r="G21" s="42"/>
      <c r="H21" s="42"/>
      <c r="I21" s="42"/>
      <c r="J21" s="42"/>
      <c r="K21" s="42"/>
      <c r="L21" s="42"/>
    </row>
    <row r="22" spans="1:12">
      <c r="A22" s="197" t="s">
        <v>334</v>
      </c>
      <c r="B22" s="198">
        <v>15171</v>
      </c>
      <c r="C22" s="198">
        <v>11569</v>
      </c>
      <c r="D22" s="42"/>
      <c r="E22" s="42"/>
      <c r="F22" s="42"/>
      <c r="G22" s="42"/>
      <c r="H22" s="42"/>
      <c r="I22" s="42"/>
      <c r="J22" s="42"/>
      <c r="K22" s="42"/>
      <c r="L22" s="42"/>
    </row>
    <row r="23" spans="1:12">
      <c r="A23" s="197"/>
      <c r="B23" s="199">
        <v>1764620</v>
      </c>
      <c r="C23" s="199">
        <v>1531376</v>
      </c>
      <c r="D23" s="42"/>
      <c r="E23" s="42"/>
      <c r="F23" s="192"/>
      <c r="G23" s="42"/>
      <c r="H23" s="42"/>
      <c r="I23" s="42"/>
      <c r="J23" s="42"/>
      <c r="K23" s="42"/>
      <c r="L23" s="42"/>
    </row>
    <row r="24" spans="1:12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</row>
    <row r="25" spans="1:12">
      <c r="A25" s="42"/>
      <c r="B25" s="42"/>
      <c r="C25" s="42"/>
      <c r="D25" s="42"/>
      <c r="E25" s="42"/>
      <c r="F25" s="195"/>
      <c r="G25" s="42"/>
      <c r="H25" s="42"/>
      <c r="I25" s="42"/>
      <c r="J25" s="42"/>
      <c r="K25" s="196"/>
      <c r="L25" s="196"/>
    </row>
    <row r="26" spans="1:12" ht="17.399999999999999">
      <c r="A26" s="185" t="s">
        <v>335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</row>
    <row r="27" spans="1:12">
      <c r="A27" s="200"/>
      <c r="B27" s="186"/>
      <c r="C27" s="187"/>
      <c r="D27" s="187"/>
      <c r="E27" s="187"/>
      <c r="F27" s="194"/>
      <c r="G27" s="42"/>
      <c r="H27" s="42"/>
      <c r="I27" s="42"/>
      <c r="J27" s="42"/>
      <c r="K27" s="42"/>
      <c r="L27" s="42"/>
    </row>
    <row r="28" spans="1:12">
      <c r="A28" s="188" t="s">
        <v>40</v>
      </c>
      <c r="B28" s="201"/>
      <c r="C28" s="202" t="s">
        <v>336</v>
      </c>
      <c r="D28" s="189"/>
      <c r="E28" s="188" t="s">
        <v>337</v>
      </c>
      <c r="F28" s="203" t="s">
        <v>179</v>
      </c>
      <c r="G28" s="42"/>
      <c r="H28" s="42"/>
      <c r="I28" s="42"/>
      <c r="J28" s="42"/>
      <c r="K28" s="42"/>
      <c r="L28" s="42"/>
    </row>
    <row r="29" spans="1:12">
      <c r="A29" s="204"/>
      <c r="B29" s="204" t="s">
        <v>338</v>
      </c>
      <c r="C29" s="193"/>
      <c r="D29" s="193"/>
      <c r="E29" s="204"/>
      <c r="F29" s="205"/>
      <c r="G29" s="42"/>
      <c r="H29" s="42"/>
      <c r="I29" s="42"/>
      <c r="J29" s="42"/>
      <c r="K29" s="196"/>
      <c r="L29" s="196"/>
    </row>
    <row r="30" spans="1:12">
      <c r="A30" s="204"/>
      <c r="B30" s="206" t="s">
        <v>339</v>
      </c>
      <c r="C30" s="199" t="s">
        <v>340</v>
      </c>
      <c r="D30" s="199" t="s">
        <v>184</v>
      </c>
      <c r="E30" s="206"/>
      <c r="F30" s="197"/>
      <c r="G30" s="42"/>
      <c r="H30" s="42"/>
      <c r="I30" s="42"/>
      <c r="J30" s="42"/>
      <c r="K30" s="42"/>
      <c r="L30" s="42"/>
    </row>
    <row r="31" spans="1:12">
      <c r="A31" s="190" t="s">
        <v>341</v>
      </c>
      <c r="B31" s="190">
        <v>1373842</v>
      </c>
      <c r="C31" s="190">
        <v>124039</v>
      </c>
      <c r="D31" s="190">
        <v>26493</v>
      </c>
      <c r="E31" s="190">
        <v>35049</v>
      </c>
      <c r="F31" s="207">
        <v>1559423</v>
      </c>
      <c r="G31" s="42"/>
      <c r="H31" s="42"/>
      <c r="I31" s="42"/>
      <c r="J31" s="42"/>
      <c r="K31" s="42"/>
      <c r="L31" s="42"/>
    </row>
    <row r="32" spans="1:12">
      <c r="A32" s="190" t="s">
        <v>342</v>
      </c>
      <c r="B32" s="190">
        <v>135056</v>
      </c>
      <c r="C32" s="190">
        <v>33815</v>
      </c>
      <c r="D32" s="190">
        <v>637</v>
      </c>
      <c r="E32" s="190">
        <v>4406</v>
      </c>
      <c r="F32" s="190">
        <v>173914</v>
      </c>
      <c r="G32" s="42"/>
      <c r="H32" s="42"/>
      <c r="I32" s="42"/>
      <c r="J32" s="42"/>
      <c r="K32" s="42"/>
      <c r="L32" s="42"/>
    </row>
    <row r="33" spans="1:12">
      <c r="A33" s="206" t="s">
        <v>179</v>
      </c>
      <c r="B33" s="206">
        <v>1508898</v>
      </c>
      <c r="C33" s="206">
        <v>157854</v>
      </c>
      <c r="D33" s="206">
        <v>27130</v>
      </c>
      <c r="E33" s="206">
        <v>39455</v>
      </c>
      <c r="F33" s="208">
        <v>1733337</v>
      </c>
      <c r="G33" s="196"/>
      <c r="H33" s="196"/>
      <c r="I33" s="196"/>
      <c r="J33" s="196"/>
      <c r="K33" s="42"/>
      <c r="L33" s="42"/>
    </row>
    <row r="34" spans="1:12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</row>
    <row r="35" spans="1:12">
      <c r="A35" s="42"/>
      <c r="B35" s="42"/>
      <c r="C35" s="42"/>
      <c r="D35" s="42"/>
      <c r="E35" s="42"/>
      <c r="F35" s="194"/>
      <c r="G35" s="42"/>
      <c r="H35" s="42"/>
      <c r="I35" s="42"/>
      <c r="J35" s="42"/>
      <c r="K35" s="42"/>
      <c r="L35" s="42"/>
    </row>
    <row r="36" spans="1:12" ht="17.399999999999999">
      <c r="A36" s="185" t="s">
        <v>343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</row>
    <row r="37" spans="1:12">
      <c r="A37" s="186"/>
      <c r="B37" s="187"/>
      <c r="C37" s="187"/>
      <c r="D37" s="187"/>
      <c r="E37" s="187"/>
      <c r="F37" s="187"/>
      <c r="G37" s="42"/>
      <c r="H37" s="42"/>
      <c r="I37" s="42"/>
      <c r="J37" s="42"/>
      <c r="K37" s="42"/>
      <c r="L37" s="42"/>
    </row>
    <row r="38" spans="1:12">
      <c r="A38" s="188" t="s">
        <v>40</v>
      </c>
      <c r="B38" s="201"/>
      <c r="C38" s="202" t="s">
        <v>336</v>
      </c>
      <c r="D38" s="189"/>
      <c r="E38" s="188" t="s">
        <v>337</v>
      </c>
      <c r="F38" s="189" t="s">
        <v>179</v>
      </c>
      <c r="G38" s="42"/>
      <c r="H38" s="42"/>
      <c r="I38" s="42"/>
      <c r="J38" s="42"/>
      <c r="K38" s="42"/>
      <c r="L38" s="42"/>
    </row>
    <row r="39" spans="1:12">
      <c r="A39" s="204"/>
      <c r="B39" s="203" t="s">
        <v>338</v>
      </c>
      <c r="C39" s="209"/>
      <c r="D39" s="193"/>
      <c r="E39" s="204"/>
      <c r="F39" s="193"/>
      <c r="G39" s="42"/>
      <c r="H39" s="42"/>
      <c r="I39" s="42"/>
      <c r="J39" s="42"/>
      <c r="K39" s="42"/>
      <c r="L39" s="42"/>
    </row>
    <row r="40" spans="1:12">
      <c r="A40" s="204"/>
      <c r="B40" s="206" t="s">
        <v>339</v>
      </c>
      <c r="C40" s="199" t="s">
        <v>340</v>
      </c>
      <c r="D40" s="199" t="s">
        <v>184</v>
      </c>
      <c r="E40" s="206"/>
      <c r="F40" s="199"/>
      <c r="G40" s="42"/>
      <c r="H40" s="42"/>
      <c r="I40" s="42"/>
      <c r="J40" s="42"/>
      <c r="K40" s="42"/>
      <c r="L40" s="42"/>
    </row>
    <row r="41" spans="1:12">
      <c r="A41" s="190" t="s">
        <v>341</v>
      </c>
      <c r="B41" s="191">
        <v>1234899</v>
      </c>
      <c r="C41" s="191">
        <v>75585</v>
      </c>
      <c r="D41" s="191">
        <v>24758</v>
      </c>
      <c r="E41" s="190">
        <v>21827</v>
      </c>
      <c r="F41" s="191">
        <v>1357069</v>
      </c>
      <c r="G41" s="42"/>
      <c r="H41" s="42"/>
      <c r="I41" s="42"/>
      <c r="J41" s="42"/>
      <c r="K41" s="42"/>
      <c r="L41" s="42"/>
    </row>
    <row r="42" spans="1:12">
      <c r="A42" s="190" t="s">
        <v>342</v>
      </c>
      <c r="B42" s="191">
        <v>115464</v>
      </c>
      <c r="C42" s="191">
        <v>29703</v>
      </c>
      <c r="D42" s="191">
        <v>359</v>
      </c>
      <c r="E42" s="190">
        <v>1772</v>
      </c>
      <c r="F42" s="191">
        <v>147298</v>
      </c>
      <c r="G42" s="42"/>
      <c r="H42" s="42"/>
      <c r="I42" s="42"/>
      <c r="J42" s="42"/>
      <c r="K42" s="42"/>
      <c r="L42" s="42"/>
    </row>
    <row r="43" spans="1:12">
      <c r="A43" s="206" t="s">
        <v>179</v>
      </c>
      <c r="B43" s="199">
        <v>1350363</v>
      </c>
      <c r="C43" s="199">
        <v>105288</v>
      </c>
      <c r="D43" s="199">
        <v>25117</v>
      </c>
      <c r="E43" s="206">
        <v>23599</v>
      </c>
      <c r="F43" s="199">
        <v>1504367</v>
      </c>
      <c r="G43" s="42"/>
      <c r="H43" s="196"/>
      <c r="I43" s="196"/>
      <c r="J43" s="196"/>
      <c r="K43" s="196"/>
      <c r="L43" s="196"/>
    </row>
    <row r="44" spans="1:12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</row>
    <row r="45" spans="1:12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</row>
    <row r="46" spans="1:12" ht="17.399999999999999">
      <c r="A46" s="185" t="s">
        <v>344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</row>
    <row r="47" spans="1:12">
      <c r="A47" s="196"/>
      <c r="B47" s="196"/>
      <c r="C47" s="196"/>
      <c r="D47" s="42"/>
      <c r="E47" s="42"/>
      <c r="F47" s="42"/>
      <c r="G47" s="42"/>
      <c r="H47" s="42"/>
      <c r="I47" s="42"/>
      <c r="J47" s="42"/>
      <c r="K47" s="42"/>
      <c r="L47" s="42"/>
    </row>
    <row r="48" spans="1:12">
      <c r="A48" s="188" t="s">
        <v>40</v>
      </c>
      <c r="B48" s="189" t="s">
        <v>345</v>
      </c>
      <c r="C48" s="189" t="s">
        <v>346</v>
      </c>
      <c r="D48" s="42"/>
      <c r="E48" s="42"/>
      <c r="F48" s="42"/>
      <c r="G48" s="42"/>
      <c r="H48" s="42"/>
      <c r="I48" s="42"/>
      <c r="J48" s="42"/>
      <c r="K48" s="42"/>
      <c r="L48" s="42"/>
    </row>
    <row r="49" spans="1:12">
      <c r="A49" s="190" t="s">
        <v>347</v>
      </c>
      <c r="B49" s="191"/>
      <c r="C49" s="191"/>
      <c r="D49" s="42"/>
      <c r="E49" s="42"/>
      <c r="F49" s="42"/>
      <c r="G49" s="42"/>
      <c r="H49" s="42"/>
      <c r="I49" s="42"/>
      <c r="J49" s="42"/>
      <c r="K49" s="42"/>
      <c r="L49" s="42"/>
    </row>
    <row r="50" spans="1:12">
      <c r="A50" s="190" t="s">
        <v>348</v>
      </c>
      <c r="B50" s="210">
        <v>1559423</v>
      </c>
      <c r="C50" s="210">
        <v>1357069</v>
      </c>
      <c r="D50" s="42"/>
      <c r="E50" s="42"/>
      <c r="F50" s="42"/>
      <c r="G50" s="42"/>
      <c r="H50" s="42"/>
      <c r="I50" s="42"/>
      <c r="J50" s="42"/>
      <c r="K50" s="42"/>
      <c r="L50" s="42"/>
    </row>
    <row r="51" spans="1:12">
      <c r="A51" s="190" t="s">
        <v>342</v>
      </c>
      <c r="B51" s="210">
        <v>173914</v>
      </c>
      <c r="C51" s="210">
        <v>147298</v>
      </c>
      <c r="D51" s="42"/>
      <c r="E51" s="42"/>
      <c r="F51" s="42"/>
      <c r="G51" s="42"/>
      <c r="H51" s="42"/>
      <c r="I51" s="42"/>
      <c r="J51" s="42"/>
      <c r="K51" s="42"/>
      <c r="L51" s="42"/>
    </row>
    <row r="52" spans="1:12">
      <c r="A52" s="204" t="s">
        <v>349</v>
      </c>
      <c r="B52" s="211">
        <v>1733337</v>
      </c>
      <c r="C52" s="211">
        <v>1504367</v>
      </c>
      <c r="D52" s="42"/>
      <c r="E52" s="212"/>
      <c r="F52" s="212"/>
      <c r="G52" s="212"/>
      <c r="H52" s="212"/>
      <c r="I52" s="42"/>
      <c r="J52" s="42"/>
      <c r="K52" s="42"/>
      <c r="L52" s="42"/>
    </row>
    <row r="53" spans="1:12">
      <c r="A53" s="190" t="s">
        <v>350</v>
      </c>
      <c r="B53" s="191"/>
      <c r="C53" s="191"/>
      <c r="D53" s="42"/>
      <c r="E53" s="42"/>
      <c r="F53" s="42"/>
      <c r="G53" s="42"/>
      <c r="H53" s="42"/>
      <c r="I53" s="42"/>
      <c r="J53" s="42"/>
      <c r="K53" s="42"/>
      <c r="L53" s="42"/>
    </row>
    <row r="54" spans="1:12">
      <c r="A54" s="190" t="s">
        <v>351</v>
      </c>
      <c r="B54" s="210">
        <v>-42001</v>
      </c>
      <c r="C54" s="210">
        <v>-28596</v>
      </c>
      <c r="D54" s="42"/>
      <c r="E54" s="42"/>
      <c r="F54" s="42"/>
      <c r="G54" s="42"/>
      <c r="H54" s="42"/>
      <c r="I54" s="42"/>
      <c r="J54" s="42"/>
      <c r="K54" s="42"/>
      <c r="L54" s="42"/>
    </row>
    <row r="55" spans="1:12">
      <c r="A55" s="190" t="s">
        <v>352</v>
      </c>
      <c r="B55" s="210">
        <v>-5842</v>
      </c>
      <c r="C55" s="191" t="s">
        <v>35</v>
      </c>
      <c r="D55" s="42"/>
      <c r="E55" s="42"/>
      <c r="F55" s="42"/>
      <c r="G55" s="42"/>
      <c r="H55" s="42"/>
      <c r="I55" s="42"/>
      <c r="J55" s="42"/>
      <c r="K55" s="42"/>
      <c r="L55" s="42"/>
    </row>
    <row r="56" spans="1:12">
      <c r="A56" s="190" t="s">
        <v>353</v>
      </c>
      <c r="B56" s="191">
        <v>39</v>
      </c>
      <c r="C56" s="210">
        <v>1026</v>
      </c>
      <c r="D56" s="42"/>
      <c r="E56" s="42"/>
      <c r="F56" s="42"/>
      <c r="G56" s="42"/>
      <c r="H56" s="42"/>
      <c r="I56" s="42"/>
      <c r="J56" s="42"/>
      <c r="K56" s="42"/>
      <c r="L56" s="42"/>
    </row>
    <row r="57" spans="1:12">
      <c r="A57" s="190" t="s">
        <v>184</v>
      </c>
      <c r="B57" s="210">
        <v>-5492</v>
      </c>
      <c r="C57" s="210">
        <v>-2501</v>
      </c>
      <c r="D57" s="42"/>
      <c r="E57" s="42"/>
      <c r="F57" s="42"/>
      <c r="G57" s="42"/>
      <c r="H57" s="42"/>
      <c r="I57" s="42"/>
      <c r="J57" s="42"/>
      <c r="K57" s="42"/>
      <c r="L57" s="42"/>
    </row>
    <row r="58" spans="1:12">
      <c r="A58" s="204" t="s">
        <v>354</v>
      </c>
      <c r="B58" s="211">
        <v>-53296</v>
      </c>
      <c r="C58" s="211">
        <v>-30071</v>
      </c>
      <c r="D58" s="42"/>
      <c r="E58" s="213"/>
      <c r="F58" s="213"/>
      <c r="G58" s="42"/>
      <c r="H58" s="42"/>
      <c r="I58" s="42"/>
      <c r="J58" s="42"/>
      <c r="K58" s="42"/>
      <c r="L58" s="42"/>
    </row>
    <row r="59" spans="1:12">
      <c r="A59" s="206" t="s">
        <v>355</v>
      </c>
      <c r="B59" s="214">
        <v>1680041</v>
      </c>
      <c r="C59" s="214">
        <v>1474296</v>
      </c>
      <c r="D59" s="42"/>
      <c r="E59" s="42"/>
      <c r="F59" s="42"/>
      <c r="G59" s="42"/>
      <c r="H59" s="42"/>
      <c r="I59" s="42"/>
      <c r="J59" s="42"/>
      <c r="K59" s="42"/>
      <c r="L59" s="42"/>
    </row>
    <row r="60" spans="1:12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</row>
    <row r="61" spans="1:12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</row>
    <row r="62" spans="1:12" ht="17.399999999999999">
      <c r="A62" s="185" t="s">
        <v>356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</row>
    <row r="63" spans="1:12">
      <c r="A63" s="196"/>
      <c r="B63" s="196"/>
      <c r="C63" s="196"/>
      <c r="D63" s="42"/>
      <c r="E63" s="42"/>
      <c r="F63" s="42"/>
      <c r="G63" s="42"/>
      <c r="H63" s="42"/>
      <c r="I63" s="42"/>
      <c r="J63" s="42"/>
      <c r="K63" s="42"/>
      <c r="L63" s="42"/>
    </row>
    <row r="64" spans="1:12">
      <c r="A64" s="215" t="s">
        <v>40</v>
      </c>
      <c r="B64" s="203" t="s">
        <v>357</v>
      </c>
      <c r="C64" s="209" t="s">
        <v>357</v>
      </c>
      <c r="D64" s="42"/>
      <c r="E64" s="42"/>
      <c r="F64" s="42"/>
      <c r="G64" s="42"/>
      <c r="H64" s="42"/>
      <c r="I64" s="42"/>
      <c r="J64" s="42"/>
      <c r="K64" s="42"/>
      <c r="L64" s="42"/>
    </row>
    <row r="65" spans="1:12">
      <c r="A65" s="216"/>
      <c r="B65" s="204" t="s">
        <v>358</v>
      </c>
      <c r="C65" s="193" t="s">
        <v>358</v>
      </c>
      <c r="D65" s="42"/>
      <c r="E65" s="42"/>
      <c r="F65" s="42"/>
      <c r="G65" s="42"/>
      <c r="H65" s="42"/>
      <c r="I65" s="42"/>
      <c r="J65" s="42"/>
      <c r="K65" s="42"/>
      <c r="L65" s="42"/>
    </row>
    <row r="66" spans="1:12">
      <c r="A66" s="217"/>
      <c r="B66" s="218">
        <v>45016</v>
      </c>
      <c r="C66" s="219">
        <v>44651</v>
      </c>
      <c r="D66" s="42"/>
      <c r="E66" s="42"/>
      <c r="F66" s="42"/>
      <c r="G66" s="42"/>
      <c r="H66" s="42"/>
      <c r="I66" s="42"/>
      <c r="J66" s="42"/>
      <c r="K66" s="42"/>
      <c r="L66" s="42"/>
    </row>
    <row r="67" spans="1:12">
      <c r="A67" s="190" t="s">
        <v>359</v>
      </c>
      <c r="B67" s="190">
        <v>244</v>
      </c>
      <c r="C67" s="191">
        <v>292</v>
      </c>
      <c r="D67" s="42"/>
      <c r="E67" s="42"/>
      <c r="F67" s="42"/>
      <c r="G67" s="42"/>
      <c r="H67" s="42"/>
      <c r="I67" s="42"/>
      <c r="J67" s="42"/>
      <c r="K67" s="42"/>
      <c r="L67" s="42"/>
    </row>
    <row r="68" spans="1:12">
      <c r="A68" s="190" t="s">
        <v>360</v>
      </c>
      <c r="B68" s="207">
        <v>8122</v>
      </c>
      <c r="C68" s="191">
        <v>407</v>
      </c>
      <c r="D68" s="42"/>
      <c r="E68" s="42"/>
      <c r="F68" s="42"/>
      <c r="G68" s="42"/>
      <c r="H68" s="42"/>
      <c r="I68" s="42"/>
      <c r="J68" s="42"/>
      <c r="K68" s="42"/>
      <c r="L68" s="42"/>
    </row>
    <row r="69" spans="1:12">
      <c r="A69" s="190" t="s">
        <v>361</v>
      </c>
      <c r="B69" s="207">
        <v>25741</v>
      </c>
      <c r="C69" s="210">
        <v>17377</v>
      </c>
      <c r="D69" s="42"/>
      <c r="E69" s="42"/>
      <c r="F69" s="42"/>
      <c r="G69" s="42"/>
      <c r="H69" s="42"/>
      <c r="I69" s="42"/>
      <c r="J69" s="42"/>
      <c r="K69" s="42"/>
      <c r="L69" s="42"/>
    </row>
    <row r="70" spans="1:12">
      <c r="A70" s="190" t="s">
        <v>362</v>
      </c>
      <c r="B70" s="190">
        <v>152</v>
      </c>
      <c r="C70" s="191">
        <v>45</v>
      </c>
      <c r="D70" s="42"/>
      <c r="E70" s="42"/>
      <c r="F70" s="42"/>
      <c r="G70" s="42"/>
      <c r="H70" s="42"/>
      <c r="I70" s="42"/>
      <c r="J70" s="42"/>
      <c r="K70" s="42"/>
      <c r="L70" s="42"/>
    </row>
    <row r="71" spans="1:12">
      <c r="A71" s="190" t="s">
        <v>363</v>
      </c>
      <c r="B71" s="190">
        <v>242</v>
      </c>
      <c r="C71" s="191">
        <v>191</v>
      </c>
      <c r="D71" s="42"/>
      <c r="E71" s="42"/>
      <c r="F71" s="42"/>
      <c r="G71" s="42"/>
      <c r="H71" s="42"/>
      <c r="I71" s="42"/>
      <c r="J71" s="42"/>
      <c r="K71" s="42"/>
      <c r="L71" s="42"/>
    </row>
    <row r="72" spans="1:12">
      <c r="A72" s="190" t="s">
        <v>364</v>
      </c>
      <c r="B72" s="190">
        <v>773</v>
      </c>
      <c r="C72" s="210">
        <v>4190</v>
      </c>
      <c r="D72" s="42"/>
      <c r="E72" s="42"/>
      <c r="F72" s="42"/>
      <c r="G72" s="42"/>
      <c r="H72" s="42"/>
      <c r="I72" s="42"/>
      <c r="J72" s="42"/>
      <c r="K72" s="42"/>
      <c r="L72" s="42"/>
    </row>
    <row r="73" spans="1:12">
      <c r="A73" s="190" t="s">
        <v>365</v>
      </c>
      <c r="B73" s="190">
        <v>587</v>
      </c>
      <c r="C73" s="191">
        <v>587</v>
      </c>
      <c r="D73" s="42"/>
      <c r="E73" s="42"/>
      <c r="F73" s="42"/>
      <c r="G73" s="42"/>
      <c r="H73" s="42"/>
      <c r="I73" s="42"/>
      <c r="J73" s="42"/>
      <c r="K73" s="42"/>
      <c r="L73" s="42"/>
    </row>
    <row r="74" spans="1:12">
      <c r="A74" s="197" t="s">
        <v>366</v>
      </c>
      <c r="B74" s="197">
        <v>141</v>
      </c>
      <c r="C74" s="220">
        <v>270</v>
      </c>
      <c r="D74" s="42"/>
      <c r="E74" s="42"/>
      <c r="F74" s="42"/>
      <c r="G74" s="42"/>
      <c r="H74" s="42"/>
      <c r="I74" s="42"/>
      <c r="J74" s="42"/>
      <c r="K74" s="42"/>
      <c r="L74" s="42"/>
    </row>
    <row r="75" spans="1:12">
      <c r="A75" s="197"/>
      <c r="B75" s="208">
        <v>36002</v>
      </c>
      <c r="C75" s="221">
        <v>23359</v>
      </c>
      <c r="D75" s="42"/>
      <c r="E75" s="42"/>
      <c r="F75" s="42"/>
      <c r="G75" s="42"/>
      <c r="H75" s="42"/>
      <c r="I75" s="42"/>
      <c r="J75" s="42"/>
      <c r="K75" s="42"/>
      <c r="L75" s="42"/>
    </row>
    <row r="76" spans="1:12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</row>
    <row r="77" spans="1:12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</row>
    <row r="78" spans="1:12" ht="15" thickBot="1">
      <c r="A78" s="184" t="s">
        <v>367</v>
      </c>
      <c r="B78" s="184"/>
      <c r="C78" s="184"/>
      <c r="D78" s="42"/>
      <c r="E78" s="42"/>
      <c r="F78" s="42"/>
      <c r="G78" s="42"/>
      <c r="H78" s="42"/>
      <c r="I78" s="42"/>
      <c r="J78" s="42"/>
      <c r="K78" s="42"/>
      <c r="L78" s="42"/>
    </row>
    <row r="79" spans="1:12" ht="15" thickBot="1">
      <c r="A79" s="222" t="s">
        <v>40</v>
      </c>
      <c r="B79" s="223" t="s">
        <v>368</v>
      </c>
      <c r="C79" s="224" t="s">
        <v>369</v>
      </c>
      <c r="D79" s="42"/>
      <c r="E79" s="42"/>
      <c r="F79" s="42"/>
      <c r="G79" s="42"/>
      <c r="H79" s="42"/>
      <c r="I79" s="42"/>
      <c r="J79" s="42"/>
      <c r="K79" s="42"/>
      <c r="L79" s="42"/>
    </row>
    <row r="80" spans="1:12">
      <c r="A80" s="225" t="s">
        <v>370</v>
      </c>
      <c r="B80" s="226"/>
      <c r="C80" s="227"/>
      <c r="D80" s="42"/>
      <c r="E80" s="42"/>
      <c r="F80" s="42"/>
      <c r="G80" s="42"/>
      <c r="H80" s="42"/>
      <c r="I80" s="42"/>
      <c r="J80" s="42"/>
      <c r="K80" s="42"/>
      <c r="L80" s="42"/>
    </row>
    <row r="81" spans="1:12">
      <c r="A81" s="228" t="s">
        <v>371</v>
      </c>
      <c r="B81" s="229">
        <v>193943</v>
      </c>
      <c r="C81" s="230">
        <v>167272</v>
      </c>
      <c r="D81" s="42"/>
      <c r="E81" s="42"/>
      <c r="F81" s="42"/>
      <c r="G81" s="42"/>
      <c r="H81" s="42"/>
      <c r="I81" s="42"/>
      <c r="J81" s="42"/>
      <c r="K81" s="42"/>
      <c r="L81" s="42"/>
    </row>
    <row r="82" spans="1:12">
      <c r="A82" s="228" t="s">
        <v>372</v>
      </c>
      <c r="B82" s="229">
        <v>167272</v>
      </c>
      <c r="C82" s="230">
        <v>136061</v>
      </c>
      <c r="D82" s="42"/>
      <c r="E82" s="42"/>
      <c r="F82" s="42"/>
      <c r="G82" s="42"/>
      <c r="H82" s="42"/>
      <c r="I82" s="42"/>
      <c r="J82" s="42"/>
      <c r="K82" s="42"/>
      <c r="L82" s="42"/>
    </row>
    <row r="83" spans="1:12" ht="15" thickBot="1">
      <c r="A83" s="231" t="s">
        <v>373</v>
      </c>
      <c r="B83" s="232">
        <v>26671</v>
      </c>
      <c r="C83" s="233">
        <v>31211</v>
      </c>
      <c r="D83" s="42"/>
      <c r="E83" s="42"/>
      <c r="F83" s="42"/>
      <c r="G83" s="42"/>
      <c r="H83" s="42"/>
      <c r="I83" s="42"/>
      <c r="J83" s="42"/>
      <c r="K83" s="42"/>
      <c r="L83" s="42"/>
    </row>
    <row r="84" spans="1:12">
      <c r="A84" s="225" t="s">
        <v>374</v>
      </c>
      <c r="B84" s="226"/>
      <c r="C84" s="227"/>
      <c r="D84" s="42"/>
      <c r="E84" s="42"/>
      <c r="F84" s="42"/>
      <c r="G84" s="42"/>
      <c r="H84" s="42"/>
      <c r="I84" s="42"/>
      <c r="J84" s="42"/>
      <c r="K84" s="42"/>
      <c r="L84" s="42"/>
    </row>
    <row r="85" spans="1:12">
      <c r="A85" s="228" t="s">
        <v>371</v>
      </c>
      <c r="B85" s="229">
        <v>37007</v>
      </c>
      <c r="C85" s="230">
        <v>24248</v>
      </c>
      <c r="D85" s="42"/>
      <c r="E85" s="42"/>
      <c r="F85" s="42"/>
      <c r="G85" s="42"/>
      <c r="H85" s="42"/>
      <c r="I85" s="42"/>
      <c r="J85" s="42"/>
      <c r="K85" s="42"/>
      <c r="L85" s="42"/>
    </row>
    <row r="86" spans="1:12">
      <c r="A86" s="228" t="s">
        <v>372</v>
      </c>
      <c r="B86" s="229">
        <v>24248</v>
      </c>
      <c r="C86" s="230">
        <v>27675</v>
      </c>
      <c r="D86" s="42"/>
      <c r="E86" s="42"/>
      <c r="F86" s="42"/>
      <c r="G86" s="42"/>
      <c r="H86" s="42"/>
      <c r="I86" s="42"/>
      <c r="J86" s="42"/>
      <c r="K86" s="42"/>
      <c r="L86" s="42"/>
    </row>
    <row r="87" spans="1:12" ht="15" thickBot="1">
      <c r="A87" s="231" t="s">
        <v>373</v>
      </c>
      <c r="B87" s="232">
        <v>12759</v>
      </c>
      <c r="C87" s="233">
        <v>-3427</v>
      </c>
      <c r="D87" s="42"/>
      <c r="E87" s="42"/>
      <c r="F87" s="42"/>
      <c r="G87" s="42"/>
      <c r="H87" s="42"/>
      <c r="I87" s="42"/>
      <c r="J87" s="42"/>
      <c r="K87" s="42"/>
      <c r="L87" s="42"/>
    </row>
    <row r="88" spans="1:12">
      <c r="A88" s="225" t="s">
        <v>375</v>
      </c>
      <c r="B88" s="226"/>
      <c r="C88" s="227"/>
      <c r="D88" s="42"/>
      <c r="E88" s="42"/>
      <c r="F88" s="42"/>
      <c r="G88" s="42"/>
      <c r="H88" s="42"/>
      <c r="I88" s="42"/>
      <c r="J88" s="42"/>
      <c r="K88" s="42"/>
      <c r="L88" s="42"/>
    </row>
    <row r="89" spans="1:12">
      <c r="A89" s="228" t="s">
        <v>371</v>
      </c>
      <c r="B89" s="234">
        <v>551</v>
      </c>
      <c r="C89" s="235">
        <v>236</v>
      </c>
      <c r="D89" s="42"/>
      <c r="E89" s="42"/>
      <c r="F89" s="42"/>
      <c r="G89" s="42"/>
      <c r="H89" s="42"/>
      <c r="I89" s="42"/>
      <c r="J89" s="42"/>
      <c r="K89" s="42"/>
      <c r="L89" s="42"/>
    </row>
    <row r="90" spans="1:12">
      <c r="A90" s="228" t="s">
        <v>372</v>
      </c>
      <c r="B90" s="234">
        <v>236</v>
      </c>
      <c r="C90" s="235">
        <v>323</v>
      </c>
      <c r="D90" s="42"/>
      <c r="E90" s="42"/>
      <c r="F90" s="42"/>
      <c r="G90" s="42"/>
      <c r="H90" s="42"/>
      <c r="I90" s="42"/>
      <c r="J90" s="42"/>
      <c r="K90" s="42"/>
      <c r="L90" s="42"/>
    </row>
    <row r="91" spans="1:12" ht="15" thickBot="1">
      <c r="A91" s="231" t="s">
        <v>373</v>
      </c>
      <c r="B91" s="236">
        <v>315</v>
      </c>
      <c r="C91" s="237">
        <v>-87</v>
      </c>
      <c r="D91" s="42"/>
      <c r="E91" s="42"/>
      <c r="F91" s="42"/>
      <c r="G91" s="42"/>
      <c r="H91" s="42"/>
      <c r="I91" s="42"/>
      <c r="J91" s="42"/>
      <c r="K91" s="42"/>
      <c r="L91" s="42"/>
    </row>
    <row r="92" spans="1:12" ht="15" thickBot="1">
      <c r="A92" s="238" t="s">
        <v>376</v>
      </c>
      <c r="B92" s="232">
        <v>39745</v>
      </c>
      <c r="C92" s="233">
        <v>27697</v>
      </c>
      <c r="D92" s="42"/>
      <c r="E92" s="42"/>
      <c r="F92" s="42"/>
      <c r="G92" s="42"/>
      <c r="H92" s="42"/>
      <c r="I92" s="42"/>
      <c r="J92" s="42"/>
      <c r="K92" s="42"/>
      <c r="L92" s="42"/>
    </row>
    <row r="93" spans="1:12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</row>
    <row r="94" spans="1:12" ht="15" thickBot="1">
      <c r="A94" s="239" t="s">
        <v>377</v>
      </c>
      <c r="B94" s="239"/>
      <c r="C94" s="239"/>
      <c r="D94" s="42"/>
      <c r="E94" s="42"/>
      <c r="F94" s="42"/>
      <c r="G94" s="42"/>
      <c r="H94" s="42"/>
      <c r="I94" s="42"/>
      <c r="J94" s="42"/>
      <c r="K94" s="42"/>
      <c r="L94" s="42"/>
    </row>
    <row r="95" spans="1:12" ht="15" thickBot="1">
      <c r="A95" s="240" t="s">
        <v>40</v>
      </c>
      <c r="B95" s="240" t="s">
        <v>368</v>
      </c>
      <c r="C95" s="241" t="s">
        <v>369</v>
      </c>
      <c r="D95" s="42"/>
      <c r="E95" s="42"/>
      <c r="F95" s="42"/>
      <c r="G95" s="42"/>
      <c r="H95" s="42"/>
      <c r="I95" s="42"/>
      <c r="J95" s="42"/>
      <c r="K95" s="42"/>
      <c r="L95" s="42"/>
    </row>
    <row r="96" spans="1:12" ht="15" thickBot="1">
      <c r="A96" s="242" t="s">
        <v>378</v>
      </c>
      <c r="B96" s="242">
        <v>184994</v>
      </c>
      <c r="C96" s="243">
        <v>164123</v>
      </c>
      <c r="D96" s="42"/>
      <c r="E96" s="42"/>
      <c r="F96" s="42"/>
      <c r="G96" s="42"/>
      <c r="H96" s="42"/>
      <c r="I96" s="42"/>
      <c r="J96" s="42"/>
      <c r="K96" s="42"/>
      <c r="L96" s="42"/>
    </row>
    <row r="97" spans="1:12">
      <c r="A97" s="244" t="s">
        <v>379</v>
      </c>
      <c r="B97" s="245"/>
      <c r="C97" s="246"/>
      <c r="D97" s="42"/>
      <c r="E97" s="42"/>
      <c r="F97" s="42"/>
      <c r="G97" s="42"/>
      <c r="H97" s="42"/>
      <c r="I97" s="42"/>
      <c r="J97" s="42"/>
      <c r="K97" s="42"/>
      <c r="L97" s="42"/>
    </row>
    <row r="98" spans="1:12">
      <c r="A98" s="226" t="s">
        <v>380</v>
      </c>
      <c r="B98" s="226">
        <v>1168</v>
      </c>
      <c r="C98" s="227">
        <v>1460</v>
      </c>
      <c r="D98" s="42"/>
      <c r="E98" s="42"/>
      <c r="F98" s="42"/>
      <c r="G98" s="42"/>
      <c r="H98" s="42"/>
      <c r="I98" s="42"/>
      <c r="J98" s="42"/>
      <c r="K98" s="42"/>
      <c r="L98" s="42"/>
    </row>
    <row r="99" spans="1:12">
      <c r="A99" s="226" t="s">
        <v>381</v>
      </c>
      <c r="B99" s="226">
        <v>12668</v>
      </c>
      <c r="C99" s="227">
        <v>11798</v>
      </c>
      <c r="D99" s="42"/>
      <c r="E99" s="42"/>
      <c r="F99" s="42"/>
      <c r="G99" s="42"/>
      <c r="H99" s="42"/>
      <c r="I99" s="42"/>
      <c r="J99" s="42"/>
      <c r="K99" s="42"/>
      <c r="L99" s="42"/>
    </row>
    <row r="100" spans="1:12">
      <c r="A100" s="226" t="s">
        <v>382</v>
      </c>
      <c r="B100" s="226">
        <v>6040</v>
      </c>
      <c r="C100" s="227">
        <v>6063</v>
      </c>
      <c r="D100" s="42"/>
      <c r="E100" s="42"/>
      <c r="F100" s="42"/>
      <c r="G100" s="42"/>
      <c r="H100" s="42"/>
      <c r="I100" s="42"/>
      <c r="J100" s="42"/>
      <c r="K100" s="42"/>
      <c r="L100" s="42"/>
    </row>
    <row r="101" spans="1:12" ht="15" thickBot="1">
      <c r="A101" s="242" t="s">
        <v>383</v>
      </c>
      <c r="B101" s="242">
        <v>7043</v>
      </c>
      <c r="C101" s="243">
        <v>11868</v>
      </c>
      <c r="D101" s="42"/>
      <c r="E101" s="42"/>
      <c r="F101" s="42"/>
      <c r="G101" s="42"/>
      <c r="H101" s="42"/>
      <c r="I101" s="42"/>
      <c r="J101" s="42"/>
      <c r="K101" s="42"/>
      <c r="L101" s="42"/>
    </row>
    <row r="102" spans="1:12" ht="15" thickBot="1">
      <c r="A102" s="240" t="s">
        <v>384</v>
      </c>
      <c r="B102" s="247">
        <v>26919</v>
      </c>
      <c r="C102" s="248">
        <v>31189</v>
      </c>
      <c r="D102" s="42"/>
      <c r="E102" s="42"/>
      <c r="F102" s="42"/>
      <c r="G102" s="42"/>
      <c r="H102" s="42"/>
      <c r="I102" s="42"/>
      <c r="J102" s="42"/>
      <c r="K102" s="42"/>
      <c r="L102" s="42"/>
    </row>
    <row r="103" spans="1:12" ht="15" thickBot="1">
      <c r="A103" s="226" t="s">
        <v>385</v>
      </c>
      <c r="B103" s="226">
        <v>17860</v>
      </c>
      <c r="C103" s="227">
        <v>15627</v>
      </c>
      <c r="D103" s="42"/>
      <c r="E103" s="42"/>
      <c r="F103" s="42"/>
      <c r="G103" s="42"/>
      <c r="H103" s="42"/>
      <c r="I103" s="42"/>
      <c r="J103" s="42"/>
      <c r="K103" s="42"/>
      <c r="L103" s="42"/>
    </row>
    <row r="104" spans="1:12" ht="15" thickBot="1">
      <c r="A104" s="240" t="s">
        <v>386</v>
      </c>
      <c r="B104" s="249">
        <v>229773</v>
      </c>
      <c r="C104" s="250">
        <v>210939</v>
      </c>
      <c r="D104" s="42"/>
      <c r="E104" s="42"/>
      <c r="F104" s="42"/>
      <c r="G104" s="42"/>
      <c r="H104" s="42"/>
      <c r="I104" s="42"/>
      <c r="J104" s="42"/>
      <c r="K104" s="42"/>
      <c r="L104" s="42"/>
    </row>
    <row r="105" spans="1:12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</row>
    <row r="106" spans="1:12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</row>
    <row r="107" spans="1:12" ht="23.4">
      <c r="A107" s="149" t="s">
        <v>387</v>
      </c>
      <c r="B107" s="179"/>
      <c r="C107" s="180"/>
      <c r="D107" s="42"/>
      <c r="E107" s="42"/>
      <c r="F107" s="42"/>
      <c r="G107" s="42"/>
      <c r="H107" s="42"/>
      <c r="I107" s="42"/>
      <c r="J107" s="42"/>
      <c r="K107" s="42"/>
      <c r="L107" s="42"/>
    </row>
    <row r="108" spans="1:12" ht="23.4">
      <c r="A108" s="181" t="s">
        <v>388</v>
      </c>
      <c r="B108" s="182"/>
      <c r="C108" s="183"/>
      <c r="D108" s="42"/>
      <c r="E108" s="42"/>
      <c r="F108" s="42"/>
      <c r="G108" s="42"/>
      <c r="H108" s="42"/>
      <c r="I108" s="42"/>
      <c r="J108" s="42"/>
      <c r="K108" s="42"/>
      <c r="L108" s="42"/>
    </row>
    <row r="109" spans="1:12" ht="93.6">
      <c r="A109" s="151" t="s">
        <v>40</v>
      </c>
      <c r="B109" s="152" t="s">
        <v>389</v>
      </c>
      <c r="C109" s="152" t="s">
        <v>390</v>
      </c>
      <c r="D109" s="42"/>
      <c r="E109" s="42"/>
      <c r="F109" s="42"/>
      <c r="G109" s="42"/>
      <c r="H109" s="42"/>
      <c r="I109" s="42"/>
      <c r="J109" s="42"/>
      <c r="K109" s="42"/>
      <c r="L109" s="42"/>
    </row>
    <row r="110" spans="1:12" ht="15.6">
      <c r="A110" s="153" t="s">
        <v>391</v>
      </c>
      <c r="B110" s="154" t="s">
        <v>392</v>
      </c>
      <c r="C110" s="154" t="s">
        <v>392</v>
      </c>
      <c r="D110" s="42"/>
      <c r="E110" s="42"/>
      <c r="F110" s="42"/>
      <c r="G110" s="42"/>
      <c r="H110" s="42"/>
      <c r="I110" s="42"/>
      <c r="J110" s="42"/>
      <c r="K110" s="42"/>
      <c r="L110" s="42"/>
    </row>
    <row r="111" spans="1:12" ht="15.6">
      <c r="A111" s="153" t="s">
        <v>393</v>
      </c>
      <c r="B111" s="154">
        <v>-1</v>
      </c>
      <c r="C111" s="154">
        <v>13</v>
      </c>
      <c r="D111" s="42"/>
      <c r="E111" s="42"/>
      <c r="F111" s="42"/>
      <c r="G111" s="42"/>
      <c r="H111" s="42"/>
      <c r="I111" s="42"/>
      <c r="J111" s="42"/>
      <c r="K111" s="42"/>
      <c r="L111" s="42"/>
    </row>
    <row r="112" spans="1:12" ht="15.6">
      <c r="A112" s="153" t="s">
        <v>394</v>
      </c>
      <c r="B112" s="154">
        <v>1</v>
      </c>
      <c r="C112" s="155" t="s">
        <v>35</v>
      </c>
      <c r="D112" s="42"/>
      <c r="E112" s="42"/>
      <c r="F112" s="42"/>
      <c r="G112" s="42"/>
      <c r="H112" s="42"/>
      <c r="I112" s="42"/>
      <c r="J112" s="42"/>
      <c r="K112" s="42"/>
      <c r="L112" s="42"/>
    </row>
    <row r="113" spans="1:12" ht="15.6">
      <c r="A113" s="153" t="s">
        <v>395</v>
      </c>
      <c r="B113" s="154">
        <v>370</v>
      </c>
      <c r="C113" s="154">
        <v>306</v>
      </c>
      <c r="D113" s="42"/>
      <c r="E113" s="42"/>
      <c r="F113" s="42"/>
      <c r="G113" s="42"/>
      <c r="H113" s="42"/>
      <c r="I113" s="42"/>
      <c r="J113" s="42"/>
      <c r="K113" s="42"/>
      <c r="L113" s="42"/>
    </row>
    <row r="114" spans="1:12" ht="15.6">
      <c r="A114" s="153" t="s">
        <v>396</v>
      </c>
      <c r="B114" s="154">
        <v>1088</v>
      </c>
      <c r="C114" s="154">
        <v>144</v>
      </c>
      <c r="D114" s="42"/>
      <c r="E114" s="42"/>
      <c r="F114" s="42"/>
      <c r="G114" s="42"/>
      <c r="H114" s="42"/>
      <c r="I114" s="42"/>
      <c r="J114" s="42"/>
      <c r="K114" s="42"/>
      <c r="L114" s="42"/>
    </row>
    <row r="115" spans="1:12" ht="15.6">
      <c r="A115" s="153" t="s">
        <v>392</v>
      </c>
      <c r="B115" s="156">
        <v>1458</v>
      </c>
      <c r="C115" s="156">
        <v>463</v>
      </c>
      <c r="D115" s="42"/>
      <c r="E115" s="42"/>
      <c r="F115" s="42"/>
      <c r="G115" s="42"/>
      <c r="H115" s="42"/>
      <c r="I115" s="42"/>
      <c r="J115" s="42"/>
      <c r="K115" s="42"/>
      <c r="L115" s="42"/>
    </row>
    <row r="116" spans="1:12" ht="15.6">
      <c r="A116" s="153" t="s">
        <v>392</v>
      </c>
      <c r="B116" s="154" t="s">
        <v>392</v>
      </c>
      <c r="C116" s="154" t="s">
        <v>392</v>
      </c>
      <c r="D116" s="42"/>
      <c r="E116" s="42"/>
      <c r="F116" s="42"/>
      <c r="G116" s="42"/>
      <c r="H116" s="42"/>
      <c r="I116" s="42"/>
      <c r="J116" s="42"/>
      <c r="K116" s="42"/>
      <c r="L116" s="42"/>
    </row>
    <row r="117" spans="1:12" ht="15.6">
      <c r="A117" s="153" t="s">
        <v>397</v>
      </c>
      <c r="B117" s="154">
        <v>21</v>
      </c>
      <c r="C117" s="154">
        <v>22</v>
      </c>
      <c r="D117" s="42"/>
      <c r="E117" s="42"/>
      <c r="F117" s="42"/>
      <c r="G117" s="42"/>
      <c r="H117" s="42"/>
      <c r="I117" s="42"/>
      <c r="J117" s="42"/>
      <c r="K117" s="42"/>
      <c r="L117" s="42"/>
    </row>
    <row r="118" spans="1:12" ht="15.6">
      <c r="A118" s="153" t="s">
        <v>398</v>
      </c>
      <c r="B118" s="156">
        <v>1479</v>
      </c>
      <c r="C118" s="156">
        <v>485</v>
      </c>
      <c r="D118" s="42"/>
      <c r="E118" s="42"/>
      <c r="F118" s="42"/>
      <c r="G118" s="42"/>
      <c r="H118" s="42"/>
      <c r="I118" s="42"/>
      <c r="J118" s="42"/>
      <c r="K118" s="42"/>
      <c r="L118" s="42"/>
    </row>
    <row r="119" spans="1:12">
      <c r="A119" s="150"/>
      <c r="B119" s="150"/>
      <c r="C119" s="150"/>
      <c r="D119" s="42"/>
      <c r="E119" s="42"/>
      <c r="F119" s="42"/>
      <c r="G119" s="42"/>
      <c r="H119" s="42"/>
      <c r="I119" s="42"/>
      <c r="J119" s="42"/>
      <c r="K119" s="42"/>
      <c r="L119" s="42"/>
    </row>
    <row r="120" spans="1:12">
      <c r="A120" s="150"/>
      <c r="B120" s="150"/>
      <c r="C120" s="150"/>
      <c r="D120" s="42"/>
      <c r="E120" s="42"/>
      <c r="F120" s="42"/>
      <c r="G120" s="42"/>
      <c r="H120" s="42"/>
      <c r="I120" s="42"/>
      <c r="J120" s="42"/>
      <c r="K120" s="42"/>
      <c r="L120" s="42"/>
    </row>
    <row r="121" spans="1:12" ht="23.4">
      <c r="A121" s="149" t="s">
        <v>399</v>
      </c>
      <c r="B121" s="179"/>
      <c r="C121" s="180"/>
      <c r="D121" s="42"/>
      <c r="E121" s="42"/>
      <c r="F121" s="42"/>
      <c r="G121" s="42"/>
      <c r="H121" s="42"/>
      <c r="I121" s="42"/>
      <c r="J121" s="42"/>
      <c r="K121" s="42"/>
      <c r="L121" s="42"/>
    </row>
    <row r="122" spans="1:12" ht="23.4">
      <c r="A122" s="181" t="s">
        <v>400</v>
      </c>
      <c r="B122" s="182"/>
      <c r="C122" s="183"/>
      <c r="D122" s="42"/>
      <c r="E122" s="42"/>
      <c r="F122" s="42"/>
      <c r="G122" s="42"/>
      <c r="H122" s="42"/>
      <c r="I122" s="42"/>
      <c r="J122" s="42"/>
      <c r="K122" s="42"/>
      <c r="L122" s="42"/>
    </row>
    <row r="123" spans="1:12" ht="93.6">
      <c r="A123" s="151" t="s">
        <v>40</v>
      </c>
      <c r="B123" s="152" t="s">
        <v>401</v>
      </c>
      <c r="C123" s="152" t="s">
        <v>402</v>
      </c>
      <c r="D123" s="42"/>
      <c r="E123" s="42"/>
      <c r="F123" s="42"/>
      <c r="G123" s="42"/>
      <c r="H123" s="42"/>
      <c r="I123" s="42"/>
      <c r="J123" s="42"/>
      <c r="K123" s="42"/>
      <c r="L123" s="42"/>
    </row>
    <row r="124" spans="1:12" ht="15.6">
      <c r="A124" s="153" t="s">
        <v>403</v>
      </c>
      <c r="B124" s="154">
        <v>38338</v>
      </c>
      <c r="C124" s="154">
        <v>36106</v>
      </c>
      <c r="D124" s="42"/>
      <c r="E124" s="42"/>
      <c r="F124" s="42"/>
      <c r="G124" s="42"/>
      <c r="H124" s="42"/>
      <c r="I124" s="42"/>
      <c r="J124" s="42"/>
      <c r="K124" s="42"/>
      <c r="L124" s="42"/>
    </row>
    <row r="125" spans="1:12" ht="15.6">
      <c r="A125" s="153" t="s">
        <v>404</v>
      </c>
      <c r="B125" s="154">
        <v>1</v>
      </c>
      <c r="C125" s="154">
        <v>1</v>
      </c>
      <c r="D125" s="42"/>
      <c r="E125" s="42"/>
      <c r="F125" s="42"/>
      <c r="G125" s="42"/>
      <c r="H125" s="42"/>
      <c r="I125" s="42"/>
      <c r="J125" s="42"/>
      <c r="K125" s="42"/>
      <c r="L125" s="42"/>
    </row>
    <row r="126" spans="1:12" ht="15.6">
      <c r="A126" s="153" t="s">
        <v>405</v>
      </c>
      <c r="B126" s="154">
        <v>1934</v>
      </c>
      <c r="C126" s="154">
        <v>1468</v>
      </c>
      <c r="D126" s="42"/>
      <c r="E126" s="42"/>
      <c r="F126" s="42"/>
      <c r="G126" s="42"/>
      <c r="H126" s="42"/>
      <c r="I126" s="42"/>
      <c r="J126" s="42"/>
      <c r="K126" s="42"/>
      <c r="L126" s="42"/>
    </row>
    <row r="127" spans="1:12" ht="15.6">
      <c r="A127" s="153" t="s">
        <v>406</v>
      </c>
      <c r="B127" s="154">
        <v>514</v>
      </c>
      <c r="C127" s="154">
        <v>443</v>
      </c>
      <c r="D127" s="42"/>
      <c r="E127" s="42"/>
      <c r="F127" s="42"/>
      <c r="G127" s="42"/>
      <c r="H127" s="42"/>
      <c r="I127" s="42"/>
      <c r="J127" s="42"/>
      <c r="K127" s="42"/>
      <c r="L127" s="42"/>
    </row>
    <row r="128" spans="1:12" ht="15.6">
      <c r="A128" s="153" t="s">
        <v>392</v>
      </c>
      <c r="B128" s="156">
        <v>40787</v>
      </c>
      <c r="C128" s="156">
        <v>38018</v>
      </c>
      <c r="D128" s="42"/>
      <c r="E128" s="42"/>
      <c r="F128" s="42"/>
      <c r="G128" s="42"/>
      <c r="H128" s="42"/>
      <c r="I128" s="42"/>
      <c r="J128" s="42"/>
      <c r="K128" s="42"/>
      <c r="L128" s="42"/>
    </row>
    <row r="129" spans="1:12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</row>
    <row r="130" spans="1:12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</row>
    <row r="131" spans="1:12" ht="23.4">
      <c r="A131" s="251" t="s">
        <v>407</v>
      </c>
      <c r="B131" s="157"/>
      <c r="C131" s="252"/>
      <c r="D131" s="42"/>
      <c r="E131" s="42"/>
      <c r="F131" s="42"/>
      <c r="G131" s="42"/>
      <c r="H131" s="42"/>
      <c r="I131" s="42"/>
      <c r="J131" s="42"/>
      <c r="K131" s="42"/>
      <c r="L131" s="42"/>
    </row>
    <row r="132" spans="1:1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</row>
    <row r="133" spans="1:12" ht="21">
      <c r="A133" s="253" t="s">
        <v>408</v>
      </c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</row>
    <row r="134" spans="1:12" ht="15" thickBo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</row>
    <row r="135" spans="1:12" ht="15.6" thickTop="1" thickBot="1">
      <c r="A135" s="254" t="s">
        <v>40</v>
      </c>
      <c r="B135" s="255" t="s">
        <v>368</v>
      </c>
      <c r="C135" s="255" t="s">
        <v>369</v>
      </c>
      <c r="D135" s="42"/>
      <c r="E135" s="42"/>
      <c r="F135" s="42"/>
      <c r="G135" s="42"/>
      <c r="H135" s="42"/>
      <c r="I135" s="42"/>
      <c r="J135" s="42"/>
      <c r="K135" s="42"/>
      <c r="L135" s="42"/>
    </row>
    <row r="136" spans="1:12" ht="15" thickTop="1">
      <c r="A136" s="256" t="s">
        <v>409</v>
      </c>
      <c r="B136" s="257">
        <v>2277</v>
      </c>
      <c r="C136" s="257">
        <v>3711</v>
      </c>
      <c r="D136" s="42"/>
      <c r="E136" s="42"/>
      <c r="F136" s="42"/>
      <c r="G136" s="42"/>
      <c r="H136" s="42"/>
      <c r="I136" s="42"/>
      <c r="J136" s="42"/>
      <c r="K136" s="42"/>
      <c r="L136" s="42"/>
    </row>
    <row r="137" spans="1:12">
      <c r="A137" s="256" t="s">
        <v>410</v>
      </c>
      <c r="B137" s="257">
        <v>396</v>
      </c>
      <c r="C137" s="257">
        <v>419</v>
      </c>
      <c r="D137" s="42"/>
      <c r="E137" s="42"/>
      <c r="F137" s="42"/>
      <c r="G137" s="42"/>
      <c r="H137" s="42"/>
      <c r="I137" s="42"/>
      <c r="J137" s="42"/>
      <c r="K137" s="42"/>
      <c r="L137" s="42"/>
    </row>
    <row r="138" spans="1:12">
      <c r="A138" s="256" t="s">
        <v>411</v>
      </c>
      <c r="B138" s="257">
        <v>551</v>
      </c>
      <c r="C138" s="257">
        <v>1346</v>
      </c>
      <c r="D138" s="42"/>
      <c r="E138" s="42"/>
      <c r="F138" s="42"/>
      <c r="G138" s="42"/>
      <c r="H138" s="42"/>
      <c r="I138" s="42"/>
      <c r="J138" s="42"/>
      <c r="K138" s="42"/>
      <c r="L138" s="42"/>
    </row>
    <row r="139" spans="1:12">
      <c r="A139" s="256" t="s">
        <v>412</v>
      </c>
      <c r="B139" s="257">
        <v>1680</v>
      </c>
      <c r="C139" s="257">
        <v>1713</v>
      </c>
      <c r="D139" s="42"/>
      <c r="E139" s="42"/>
      <c r="F139" s="42"/>
      <c r="G139" s="42"/>
      <c r="H139" s="42"/>
      <c r="I139" s="42"/>
      <c r="J139" s="42"/>
      <c r="K139" s="42"/>
      <c r="L139" s="42"/>
    </row>
    <row r="140" spans="1:12">
      <c r="A140" s="256" t="s">
        <v>413</v>
      </c>
      <c r="B140" s="257">
        <v>813</v>
      </c>
      <c r="C140" s="257">
        <v>530</v>
      </c>
      <c r="D140" s="42"/>
      <c r="E140" s="42"/>
      <c r="F140" s="42"/>
      <c r="G140" s="42"/>
      <c r="H140" s="42"/>
      <c r="I140" s="42"/>
      <c r="J140" s="42"/>
      <c r="K140" s="42"/>
      <c r="L140" s="42"/>
    </row>
    <row r="141" spans="1:12">
      <c r="A141" s="256" t="s">
        <v>414</v>
      </c>
      <c r="B141" s="257">
        <v>2733</v>
      </c>
      <c r="C141" s="257">
        <v>2413</v>
      </c>
      <c r="D141" s="42"/>
      <c r="E141" s="42"/>
      <c r="F141" s="42"/>
      <c r="G141" s="42"/>
      <c r="H141" s="42"/>
      <c r="I141" s="42"/>
      <c r="J141" s="42"/>
      <c r="K141" s="42"/>
      <c r="L141" s="42"/>
    </row>
    <row r="142" spans="1:12">
      <c r="A142" s="256" t="s">
        <v>415</v>
      </c>
      <c r="B142" s="257">
        <v>2733</v>
      </c>
      <c r="C142" s="257">
        <v>2733</v>
      </c>
      <c r="D142" s="42"/>
      <c r="E142" s="42"/>
      <c r="F142" s="42"/>
      <c r="G142" s="42"/>
      <c r="H142" s="42"/>
      <c r="I142" s="42"/>
      <c r="J142" s="42"/>
      <c r="K142" s="42"/>
      <c r="L142" s="42"/>
    </row>
    <row r="143" spans="1:12">
      <c r="A143" s="258" t="s">
        <v>416</v>
      </c>
      <c r="B143" s="257">
        <v>34</v>
      </c>
      <c r="C143" s="257">
        <v>34</v>
      </c>
      <c r="D143" s="42"/>
      <c r="E143" s="42"/>
      <c r="F143" s="42"/>
      <c r="G143" s="42"/>
      <c r="H143" s="42"/>
      <c r="I143" s="42"/>
      <c r="J143" s="42"/>
      <c r="K143" s="42"/>
      <c r="L143" s="42"/>
    </row>
    <row r="144" spans="1:12">
      <c r="A144" s="258" t="s">
        <v>417</v>
      </c>
      <c r="B144" s="257">
        <v>5</v>
      </c>
      <c r="C144" s="257">
        <v>5</v>
      </c>
      <c r="D144" s="42"/>
      <c r="E144" s="42"/>
      <c r="F144" s="42"/>
      <c r="G144" s="42"/>
      <c r="H144" s="42"/>
      <c r="I144" s="42"/>
      <c r="J144" s="42"/>
      <c r="K144" s="42"/>
      <c r="L144" s="42"/>
    </row>
    <row r="145" spans="1:12">
      <c r="A145" s="258" t="s">
        <v>418</v>
      </c>
      <c r="B145" s="257">
        <v>10</v>
      </c>
      <c r="C145" s="257">
        <v>9</v>
      </c>
      <c r="D145" s="42"/>
      <c r="E145" s="42"/>
      <c r="F145" s="42"/>
      <c r="G145" s="42"/>
      <c r="H145" s="42"/>
      <c r="I145" s="42"/>
      <c r="J145" s="42"/>
      <c r="K145" s="42"/>
      <c r="L145" s="42"/>
    </row>
    <row r="146" spans="1:12">
      <c r="A146" s="258" t="s">
        <v>419</v>
      </c>
      <c r="B146" s="257">
        <v>9</v>
      </c>
      <c r="C146" s="257">
        <v>12</v>
      </c>
      <c r="D146" s="42"/>
      <c r="E146" s="42"/>
      <c r="F146" s="42"/>
      <c r="G146" s="42"/>
      <c r="H146" s="42"/>
      <c r="I146" s="42"/>
      <c r="J146" s="42"/>
      <c r="K146" s="42"/>
      <c r="L146" s="42"/>
    </row>
    <row r="147" spans="1:12">
      <c r="A147" s="258" t="s">
        <v>420</v>
      </c>
      <c r="B147" s="257">
        <v>4</v>
      </c>
      <c r="C147" s="257">
        <v>4</v>
      </c>
      <c r="D147" s="42"/>
      <c r="E147" s="42"/>
      <c r="F147" s="42"/>
      <c r="G147" s="42"/>
      <c r="H147" s="42"/>
      <c r="I147" s="42"/>
      <c r="J147" s="42"/>
      <c r="K147" s="42"/>
      <c r="L147" s="42"/>
    </row>
    <row r="148" spans="1:12">
      <c r="A148" s="258" t="s">
        <v>421</v>
      </c>
      <c r="B148" s="257" t="s">
        <v>392</v>
      </c>
      <c r="C148" s="257" t="s">
        <v>392</v>
      </c>
      <c r="D148" s="42"/>
      <c r="E148" s="42"/>
      <c r="F148" s="42"/>
      <c r="G148" s="42"/>
      <c r="H148" s="42"/>
      <c r="I148" s="42"/>
      <c r="J148" s="42"/>
      <c r="K148" s="42"/>
      <c r="L148" s="42"/>
    </row>
    <row r="149" spans="1:12">
      <c r="A149" s="258" t="s">
        <v>167</v>
      </c>
      <c r="B149" s="257">
        <v>2519</v>
      </c>
      <c r="C149" s="257">
        <v>2602</v>
      </c>
      <c r="D149" s="42"/>
      <c r="E149" s="42"/>
      <c r="F149" s="42"/>
      <c r="G149" s="42"/>
      <c r="H149" s="42"/>
      <c r="I149" s="42"/>
      <c r="J149" s="42"/>
      <c r="K149" s="42"/>
      <c r="L149" s="42"/>
    </row>
    <row r="150" spans="1:12">
      <c r="A150" s="258" t="s">
        <v>422</v>
      </c>
      <c r="B150" s="257">
        <v>1680</v>
      </c>
      <c r="C150" s="257">
        <v>1120</v>
      </c>
      <c r="D150" s="42"/>
      <c r="E150" s="42"/>
      <c r="F150" s="42"/>
      <c r="G150" s="42"/>
      <c r="H150" s="42"/>
      <c r="I150" s="42"/>
      <c r="J150" s="42"/>
      <c r="K150" s="42"/>
      <c r="L150" s="42"/>
    </row>
    <row r="151" spans="1:12">
      <c r="A151" s="258" t="s">
        <v>184</v>
      </c>
      <c r="B151" s="257">
        <v>10243</v>
      </c>
      <c r="C151" s="257">
        <v>11364</v>
      </c>
      <c r="D151" s="42"/>
      <c r="E151" s="42"/>
      <c r="F151" s="42"/>
      <c r="G151" s="42"/>
      <c r="H151" s="42"/>
      <c r="I151" s="42"/>
      <c r="J151" s="42"/>
      <c r="K151" s="42"/>
      <c r="L151" s="42"/>
    </row>
    <row r="152" spans="1:12">
      <c r="A152" s="259" t="s">
        <v>179</v>
      </c>
      <c r="B152" s="260">
        <v>25687</v>
      </c>
      <c r="C152" s="261">
        <v>28015</v>
      </c>
      <c r="D152" s="42"/>
      <c r="E152" s="42"/>
      <c r="F152" s="42"/>
      <c r="G152" s="42"/>
      <c r="H152" s="42"/>
      <c r="I152" s="42"/>
      <c r="J152" s="42"/>
      <c r="K152" s="42"/>
      <c r="L152" s="42"/>
    </row>
    <row r="153" spans="1:12">
      <c r="A153" s="258" t="s">
        <v>423</v>
      </c>
      <c r="B153" s="257">
        <v>366</v>
      </c>
      <c r="C153" s="257">
        <v>342</v>
      </c>
      <c r="D153" s="42"/>
      <c r="E153" s="42"/>
      <c r="F153" s="42"/>
      <c r="G153" s="42"/>
      <c r="H153" s="42"/>
      <c r="I153" s="42"/>
      <c r="J153" s="42"/>
      <c r="K153" s="42"/>
      <c r="L153" s="42"/>
    </row>
    <row r="154" spans="1:12">
      <c r="A154" s="258" t="s">
        <v>424</v>
      </c>
      <c r="B154" s="257">
        <v>352</v>
      </c>
      <c r="C154" s="257">
        <v>277</v>
      </c>
      <c r="D154" s="42"/>
      <c r="E154" s="42"/>
      <c r="F154" s="42"/>
      <c r="G154" s="42"/>
      <c r="H154" s="42"/>
      <c r="I154" s="42"/>
      <c r="J154" s="42"/>
      <c r="K154" s="42"/>
      <c r="L154" s="42"/>
    </row>
    <row r="155" spans="1:12">
      <c r="A155" s="258" t="s">
        <v>425</v>
      </c>
      <c r="B155" s="257">
        <v>1768</v>
      </c>
      <c r="C155" s="257">
        <v>289</v>
      </c>
      <c r="D155" s="42"/>
      <c r="E155" s="42"/>
      <c r="F155" s="42"/>
      <c r="G155" s="42"/>
      <c r="H155" s="42"/>
      <c r="I155" s="42"/>
      <c r="J155" s="42"/>
      <c r="K155" s="42"/>
      <c r="L155" s="42"/>
    </row>
    <row r="156" spans="1:12">
      <c r="A156" s="258" t="s">
        <v>426</v>
      </c>
      <c r="B156" s="262">
        <v>0</v>
      </c>
      <c r="C156" s="257">
        <v>7823</v>
      </c>
      <c r="D156" s="42"/>
      <c r="E156" s="42"/>
      <c r="F156" s="42"/>
      <c r="G156" s="42"/>
      <c r="H156" s="42"/>
      <c r="I156" s="42"/>
      <c r="J156" s="42"/>
      <c r="K156" s="42"/>
      <c r="L156" s="42"/>
    </row>
    <row r="157" spans="1:12">
      <c r="A157" s="258" t="s">
        <v>427</v>
      </c>
      <c r="B157" s="257">
        <v>1489</v>
      </c>
      <c r="C157" s="257">
        <v>1124</v>
      </c>
      <c r="D157" s="42"/>
      <c r="E157" s="42"/>
      <c r="F157" s="42"/>
      <c r="G157" s="42"/>
      <c r="H157" s="42"/>
      <c r="I157" s="42"/>
      <c r="J157" s="42"/>
      <c r="K157" s="42"/>
      <c r="L157" s="42"/>
    </row>
    <row r="158" spans="1:12">
      <c r="A158" s="258" t="s">
        <v>428</v>
      </c>
      <c r="B158" s="257">
        <v>2541</v>
      </c>
      <c r="C158" s="257">
        <v>2845</v>
      </c>
      <c r="D158" s="42"/>
      <c r="E158" s="42"/>
      <c r="F158" s="42"/>
      <c r="G158" s="42"/>
      <c r="H158" s="42"/>
      <c r="I158" s="42"/>
      <c r="J158" s="42"/>
      <c r="K158" s="42"/>
      <c r="L158" s="42"/>
    </row>
    <row r="159" spans="1:12">
      <c r="A159" s="258" t="s">
        <v>429</v>
      </c>
      <c r="B159" s="257">
        <v>5855</v>
      </c>
      <c r="C159" s="257">
        <v>1307</v>
      </c>
      <c r="D159" s="42"/>
      <c r="E159" s="42"/>
      <c r="F159" s="42"/>
      <c r="G159" s="42"/>
      <c r="H159" s="42"/>
      <c r="I159" s="42"/>
      <c r="J159" s="42"/>
      <c r="K159" s="42"/>
      <c r="L159" s="42"/>
    </row>
    <row r="160" spans="1:12">
      <c r="A160" s="258" t="s">
        <v>430</v>
      </c>
      <c r="B160" s="257">
        <v>-5855</v>
      </c>
      <c r="C160" s="257">
        <v>-1307</v>
      </c>
      <c r="D160" s="42"/>
      <c r="E160" s="42"/>
      <c r="F160" s="42"/>
      <c r="G160" s="42"/>
      <c r="H160" s="42"/>
      <c r="I160" s="42"/>
      <c r="J160" s="42"/>
      <c r="K160" s="42"/>
      <c r="L160" s="42"/>
    </row>
    <row r="161" spans="1:12">
      <c r="A161" s="263" t="s">
        <v>35</v>
      </c>
      <c r="B161" s="264" t="s">
        <v>35</v>
      </c>
      <c r="C161" s="264" t="s">
        <v>35</v>
      </c>
      <c r="D161" s="42"/>
      <c r="E161" s="42"/>
      <c r="F161" s="42"/>
      <c r="G161" s="42"/>
      <c r="H161" s="42"/>
      <c r="I161" s="42"/>
      <c r="J161" s="42"/>
      <c r="K161" s="42"/>
      <c r="L161" s="42"/>
    </row>
    <row r="162" spans="1:12">
      <c r="A162" s="258" t="s">
        <v>431</v>
      </c>
      <c r="B162" s="257">
        <v>20591</v>
      </c>
      <c r="C162" s="257">
        <v>6840</v>
      </c>
      <c r="D162" s="42"/>
      <c r="E162" s="42"/>
      <c r="F162" s="42"/>
      <c r="G162" s="42"/>
      <c r="H162" s="42"/>
      <c r="I162" s="42"/>
      <c r="J162" s="42"/>
      <c r="K162" s="42"/>
      <c r="L162" s="42"/>
    </row>
    <row r="163" spans="1:12">
      <c r="A163" s="258" t="s">
        <v>432</v>
      </c>
      <c r="B163" s="257">
        <v>46327</v>
      </c>
      <c r="C163" s="257">
        <v>26963</v>
      </c>
      <c r="D163" s="42"/>
      <c r="E163" s="42"/>
      <c r="F163" s="42"/>
      <c r="G163" s="42"/>
      <c r="H163" s="42"/>
      <c r="I163" s="42"/>
      <c r="J163" s="42"/>
      <c r="K163" s="42"/>
      <c r="L163" s="42"/>
    </row>
    <row r="164" spans="1:12">
      <c r="A164" s="258" t="s">
        <v>433</v>
      </c>
      <c r="B164" s="257">
        <v>165</v>
      </c>
      <c r="C164" s="257">
        <v>219</v>
      </c>
      <c r="D164" s="42"/>
      <c r="E164" s="42"/>
      <c r="F164" s="42"/>
      <c r="G164" s="42"/>
      <c r="H164" s="42"/>
      <c r="I164" s="42"/>
      <c r="J164" s="42"/>
      <c r="K164" s="42"/>
      <c r="L164" s="42"/>
    </row>
    <row r="165" spans="1:12">
      <c r="A165" s="258" t="s">
        <v>434</v>
      </c>
      <c r="B165" s="257">
        <v>-136</v>
      </c>
      <c r="C165" s="257">
        <v>9507</v>
      </c>
      <c r="D165" s="42"/>
      <c r="E165" s="42"/>
      <c r="F165" s="42"/>
      <c r="G165" s="42"/>
      <c r="H165" s="42"/>
      <c r="I165" s="42"/>
      <c r="J165" s="42"/>
      <c r="K165" s="42"/>
      <c r="L165" s="42"/>
    </row>
    <row r="166" spans="1:12">
      <c r="A166" s="258" t="s">
        <v>306</v>
      </c>
      <c r="B166" s="257">
        <v>1844</v>
      </c>
      <c r="C166" s="257">
        <v>1980</v>
      </c>
      <c r="D166" s="42"/>
      <c r="E166" s="42"/>
      <c r="F166" s="42"/>
      <c r="G166" s="42"/>
      <c r="H166" s="42"/>
      <c r="I166" s="42"/>
      <c r="J166" s="42"/>
      <c r="K166" s="42"/>
      <c r="L166" s="42"/>
    </row>
    <row r="167" spans="1:12">
      <c r="A167" s="258" t="s">
        <v>435</v>
      </c>
      <c r="B167" s="257">
        <v>3519</v>
      </c>
      <c r="C167" s="257">
        <v>936</v>
      </c>
      <c r="D167" s="42"/>
      <c r="E167" s="42"/>
      <c r="F167" s="42"/>
      <c r="G167" s="42"/>
      <c r="H167" s="42"/>
      <c r="I167" s="42"/>
      <c r="J167" s="42"/>
      <c r="K167" s="42"/>
      <c r="L167" s="42"/>
    </row>
    <row r="168" spans="1:12">
      <c r="A168" s="258" t="s">
        <v>430</v>
      </c>
      <c r="B168" s="257">
        <v>-3436</v>
      </c>
      <c r="C168" s="257">
        <v>-920</v>
      </c>
      <c r="D168" s="42"/>
      <c r="E168" s="42"/>
      <c r="F168" s="42"/>
      <c r="G168" s="42"/>
      <c r="H168" s="42"/>
      <c r="I168" s="42"/>
      <c r="J168" s="42"/>
      <c r="K168" s="42"/>
      <c r="L168" s="42"/>
    </row>
    <row r="169" spans="1:12">
      <c r="A169" s="258" t="s">
        <v>392</v>
      </c>
      <c r="B169" s="257" t="s">
        <v>392</v>
      </c>
      <c r="C169" s="257" t="s">
        <v>392</v>
      </c>
      <c r="D169" s="42"/>
      <c r="E169" s="42"/>
      <c r="F169" s="42"/>
      <c r="G169" s="42"/>
      <c r="H169" s="42"/>
      <c r="I169" s="42"/>
      <c r="J169" s="42"/>
      <c r="K169" s="42"/>
      <c r="L169" s="42"/>
    </row>
    <row r="170" spans="1:12">
      <c r="A170" s="258" t="s">
        <v>436</v>
      </c>
      <c r="B170" s="257">
        <v>4180</v>
      </c>
      <c r="C170" s="264" t="s">
        <v>35</v>
      </c>
      <c r="D170" s="42"/>
      <c r="E170" s="42"/>
      <c r="F170" s="42"/>
      <c r="G170" s="42"/>
      <c r="H170" s="42"/>
      <c r="I170" s="42"/>
      <c r="J170" s="42"/>
      <c r="K170" s="42"/>
      <c r="L170" s="42"/>
    </row>
    <row r="171" spans="1:12">
      <c r="A171" s="258" t="s">
        <v>437</v>
      </c>
      <c r="B171" s="257">
        <v>544</v>
      </c>
      <c r="C171" s="264" t="s">
        <v>35</v>
      </c>
      <c r="D171" s="42"/>
      <c r="E171" s="42"/>
      <c r="F171" s="42"/>
      <c r="G171" s="42"/>
      <c r="H171" s="42"/>
      <c r="I171" s="42"/>
      <c r="J171" s="42"/>
      <c r="K171" s="42"/>
      <c r="L171" s="42"/>
    </row>
    <row r="172" spans="1:12">
      <c r="A172" s="258" t="s">
        <v>438</v>
      </c>
      <c r="B172" s="257">
        <v>1950</v>
      </c>
      <c r="C172" s="264" t="s">
        <v>35</v>
      </c>
      <c r="D172" s="42"/>
      <c r="E172" s="42"/>
      <c r="F172" s="42"/>
      <c r="G172" s="42"/>
      <c r="H172" s="42"/>
      <c r="I172" s="42"/>
      <c r="J172" s="42"/>
      <c r="K172" s="42"/>
      <c r="L172" s="42"/>
    </row>
    <row r="173" spans="1:12">
      <c r="A173" s="258" t="s">
        <v>439</v>
      </c>
      <c r="B173" s="257">
        <v>5475</v>
      </c>
      <c r="C173" s="257">
        <v>5075</v>
      </c>
      <c r="D173" s="42"/>
      <c r="E173" s="42"/>
      <c r="F173" s="42"/>
      <c r="G173" s="42"/>
      <c r="H173" s="42"/>
      <c r="I173" s="42"/>
      <c r="J173" s="42"/>
      <c r="K173" s="42"/>
      <c r="L173" s="42"/>
    </row>
    <row r="174" spans="1:12">
      <c r="A174" s="258" t="s">
        <v>184</v>
      </c>
      <c r="B174" s="262">
        <v>0</v>
      </c>
      <c r="C174" s="257">
        <v>7585</v>
      </c>
      <c r="D174" s="42"/>
      <c r="E174" s="42"/>
      <c r="F174" s="42"/>
      <c r="G174" s="42"/>
      <c r="H174" s="42"/>
      <c r="I174" s="42"/>
      <c r="J174" s="42"/>
      <c r="K174" s="42"/>
      <c r="L174" s="42"/>
    </row>
    <row r="175" spans="1:12">
      <c r="A175" s="258" t="s">
        <v>440</v>
      </c>
      <c r="B175" s="257">
        <v>1221</v>
      </c>
      <c r="C175" s="257">
        <v>15642</v>
      </c>
      <c r="D175" s="42"/>
      <c r="E175" s="42"/>
      <c r="F175" s="42"/>
      <c r="G175" s="42"/>
      <c r="H175" s="42"/>
      <c r="I175" s="42"/>
      <c r="J175" s="42"/>
      <c r="K175" s="42"/>
      <c r="L175" s="42"/>
    </row>
    <row r="176" spans="1:12">
      <c r="A176" s="258" t="s">
        <v>441</v>
      </c>
      <c r="B176" s="257">
        <v>462</v>
      </c>
      <c r="C176" s="257">
        <v>316</v>
      </c>
      <c r="D176" s="42"/>
      <c r="E176" s="42"/>
      <c r="F176" s="42"/>
      <c r="G176" s="42"/>
      <c r="H176" s="42"/>
      <c r="I176" s="42"/>
      <c r="J176" s="42"/>
      <c r="K176" s="42"/>
      <c r="L176" s="42"/>
    </row>
    <row r="177" spans="1:12">
      <c r="A177" s="258" t="s">
        <v>442</v>
      </c>
      <c r="B177" s="257">
        <v>1088</v>
      </c>
      <c r="C177" s="257">
        <v>766</v>
      </c>
      <c r="D177" s="42"/>
      <c r="E177" s="42"/>
      <c r="F177" s="42"/>
      <c r="G177" s="42"/>
      <c r="H177" s="42"/>
      <c r="I177" s="42"/>
      <c r="J177" s="42"/>
      <c r="K177" s="42"/>
      <c r="L177" s="42"/>
    </row>
    <row r="178" spans="1:12">
      <c r="A178" s="258" t="s">
        <v>443</v>
      </c>
      <c r="B178" s="257">
        <v>759</v>
      </c>
      <c r="C178" s="257">
        <v>685</v>
      </c>
      <c r="D178" s="42"/>
      <c r="E178" s="42"/>
      <c r="F178" s="42"/>
      <c r="G178" s="42"/>
      <c r="H178" s="42"/>
      <c r="I178" s="42"/>
      <c r="J178" s="42"/>
      <c r="K178" s="42"/>
      <c r="L178" s="42"/>
    </row>
    <row r="179" spans="1:12">
      <c r="A179" s="258" t="s">
        <v>444</v>
      </c>
      <c r="B179" s="257">
        <v>127</v>
      </c>
      <c r="C179" s="257">
        <v>1250</v>
      </c>
      <c r="D179" s="42"/>
      <c r="E179" s="42"/>
      <c r="F179" s="42"/>
      <c r="G179" s="42"/>
      <c r="H179" s="42"/>
      <c r="I179" s="42"/>
      <c r="J179" s="42"/>
      <c r="K179" s="42"/>
      <c r="L179" s="42"/>
    </row>
    <row r="180" spans="1:12">
      <c r="A180" s="258" t="s">
        <v>334</v>
      </c>
      <c r="B180" s="257">
        <v>6167</v>
      </c>
      <c r="C180" s="257">
        <v>5040</v>
      </c>
      <c r="D180" s="42"/>
      <c r="E180" s="42"/>
      <c r="F180" s="42"/>
      <c r="G180" s="42"/>
      <c r="H180" s="42"/>
      <c r="I180" s="42"/>
      <c r="J180" s="42"/>
      <c r="K180" s="42"/>
      <c r="L180" s="42"/>
    </row>
    <row r="181" spans="1:12">
      <c r="A181" s="259" t="s">
        <v>179</v>
      </c>
      <c r="B181" s="265">
        <v>0</v>
      </c>
      <c r="C181" s="266">
        <v>36359</v>
      </c>
      <c r="D181" s="42"/>
      <c r="E181" s="42"/>
      <c r="F181" s="42"/>
      <c r="G181" s="42"/>
      <c r="H181" s="42"/>
      <c r="I181" s="42"/>
      <c r="J181" s="42"/>
      <c r="K181" s="42"/>
      <c r="L181" s="42"/>
    </row>
    <row r="182" spans="1:12">
      <c r="A182" s="258" t="s">
        <v>445</v>
      </c>
      <c r="B182" s="257">
        <v>-2760</v>
      </c>
      <c r="C182" s="257">
        <v>-4961</v>
      </c>
      <c r="D182" s="42"/>
      <c r="E182" s="42"/>
      <c r="F182" s="42"/>
      <c r="G182" s="42"/>
      <c r="H182" s="42"/>
      <c r="I182" s="42"/>
      <c r="J182" s="42"/>
      <c r="K182" s="42"/>
      <c r="L182" s="42"/>
    </row>
    <row r="183" spans="1:12">
      <c r="A183" s="259" t="s">
        <v>179</v>
      </c>
      <c r="B183" s="260">
        <v>0</v>
      </c>
      <c r="C183" s="261">
        <v>67757</v>
      </c>
      <c r="D183" s="42"/>
      <c r="E183" s="42"/>
      <c r="F183" s="42"/>
      <c r="G183" s="42"/>
      <c r="H183" s="42"/>
      <c r="I183" s="42"/>
      <c r="J183" s="42"/>
      <c r="K183" s="42"/>
      <c r="L183" s="42"/>
    </row>
    <row r="184" spans="1:12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</row>
    <row r="185" spans="1:12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</row>
    <row r="186" spans="1:12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</row>
    <row r="187" spans="1:12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</row>
    <row r="188" spans="1:12" ht="23.4">
      <c r="A188" s="251" t="s">
        <v>446</v>
      </c>
      <c r="B188" s="157"/>
      <c r="C188" s="252"/>
      <c r="D188" s="42"/>
      <c r="E188" s="42"/>
      <c r="F188" s="42"/>
      <c r="G188" s="42"/>
      <c r="H188" s="42"/>
      <c r="I188" s="42"/>
      <c r="J188" s="42"/>
      <c r="K188" s="42"/>
      <c r="L188" s="42"/>
    </row>
    <row r="189" spans="1:12" ht="23.4">
      <c r="A189" s="267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</row>
    <row r="190" spans="1:12">
      <c r="A190" s="268" t="s">
        <v>447</v>
      </c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</row>
    <row r="191" spans="1:12" ht="15" thickBo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</row>
    <row r="192" spans="1:12" ht="15" thickBot="1">
      <c r="A192" s="269" t="s">
        <v>40</v>
      </c>
      <c r="B192" s="270" t="s">
        <v>345</v>
      </c>
      <c r="C192" s="271" t="s">
        <v>346</v>
      </c>
      <c r="D192" s="42"/>
      <c r="E192" s="42"/>
      <c r="F192" s="42"/>
      <c r="G192" s="42"/>
      <c r="H192" s="42"/>
      <c r="I192" s="42"/>
      <c r="J192" s="42"/>
      <c r="K192" s="42"/>
      <c r="L192" s="42"/>
    </row>
    <row r="193" spans="1:12">
      <c r="A193" s="272" t="s">
        <v>448</v>
      </c>
      <c r="B193" s="273">
        <v>4.1100000000000003</v>
      </c>
      <c r="C193" s="274">
        <v>3.21</v>
      </c>
      <c r="D193" s="42"/>
      <c r="E193" s="42"/>
      <c r="F193" s="42"/>
      <c r="G193" s="42"/>
      <c r="H193" s="42"/>
      <c r="I193" s="42"/>
      <c r="J193" s="42"/>
      <c r="K193" s="42"/>
      <c r="L193" s="42"/>
    </row>
    <row r="194" spans="1:12">
      <c r="A194" s="275" t="s">
        <v>449</v>
      </c>
      <c r="B194" s="276">
        <v>4.1100000000000003</v>
      </c>
      <c r="C194" s="277">
        <v>3.21</v>
      </c>
      <c r="D194" s="42"/>
      <c r="E194" s="42"/>
      <c r="F194" s="42"/>
      <c r="G194" s="42"/>
      <c r="H194" s="42"/>
      <c r="I194" s="42"/>
      <c r="J194" s="42"/>
      <c r="K194" s="42"/>
      <c r="L194" s="42"/>
    </row>
    <row r="195" spans="1:12" ht="15" thickBot="1">
      <c r="A195" s="278" t="s">
        <v>450</v>
      </c>
      <c r="B195" s="279" t="s">
        <v>451</v>
      </c>
      <c r="C195" s="280" t="s">
        <v>451</v>
      </c>
      <c r="D195" s="42"/>
      <c r="E195" s="42"/>
      <c r="F195" s="42"/>
      <c r="G195" s="42"/>
      <c r="H195" s="42"/>
      <c r="I195" s="42"/>
      <c r="J195" s="42"/>
      <c r="K195" s="42"/>
      <c r="L195" s="42"/>
    </row>
    <row r="196" spans="1:12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</row>
    <row r="197" spans="1:12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</row>
    <row r="198" spans="1:12" ht="15.6">
      <c r="A198" s="281" t="s">
        <v>452</v>
      </c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</row>
    <row r="199" spans="1:12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</row>
    <row r="200" spans="1:12">
      <c r="A200" s="282" t="s">
        <v>40</v>
      </c>
      <c r="B200" s="283" t="s">
        <v>345</v>
      </c>
      <c r="C200" s="284" t="s">
        <v>346</v>
      </c>
      <c r="D200" s="42"/>
      <c r="E200" s="42"/>
      <c r="F200" s="42"/>
      <c r="G200" s="42"/>
      <c r="H200" s="42"/>
      <c r="I200" s="42"/>
      <c r="J200" s="42"/>
      <c r="K200" s="42"/>
      <c r="L200" s="42"/>
    </row>
    <row r="201" spans="1:12">
      <c r="A201" s="285" t="s">
        <v>448</v>
      </c>
      <c r="B201" s="286">
        <v>4.1100000000000003</v>
      </c>
      <c r="C201" s="287">
        <v>3.21</v>
      </c>
      <c r="D201" s="42"/>
      <c r="E201" s="42"/>
      <c r="F201" s="42"/>
      <c r="G201" s="42"/>
      <c r="H201" s="42"/>
      <c r="I201" s="42"/>
      <c r="J201" s="42"/>
      <c r="K201" s="42"/>
      <c r="L201" s="42"/>
    </row>
    <row r="202" spans="1:12">
      <c r="A202" s="285" t="s">
        <v>449</v>
      </c>
      <c r="B202" s="286">
        <v>4.1100000000000003</v>
      </c>
      <c r="C202" s="287">
        <v>3.21</v>
      </c>
      <c r="D202" s="42"/>
      <c r="E202" s="42"/>
      <c r="F202" s="42"/>
      <c r="G202" s="42"/>
      <c r="H202" s="42"/>
      <c r="I202" s="42"/>
      <c r="J202" s="42"/>
      <c r="K202" s="42"/>
      <c r="L202" s="42"/>
    </row>
    <row r="203" spans="1:12">
      <c r="A203" s="288" t="s">
        <v>450</v>
      </c>
      <c r="B203" s="289" t="s">
        <v>451</v>
      </c>
      <c r="C203" s="290" t="s">
        <v>451</v>
      </c>
      <c r="D203" s="42"/>
      <c r="E203" s="42"/>
      <c r="F203" s="42"/>
      <c r="G203" s="42"/>
      <c r="H203" s="42"/>
      <c r="I203" s="42"/>
      <c r="J203" s="42"/>
      <c r="K203" s="42"/>
      <c r="L203" s="42"/>
    </row>
    <row r="204" spans="1:12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</row>
    <row r="205" spans="1:12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</row>
    <row r="206" spans="1:12" ht="15.6">
      <c r="A206" s="291" t="s">
        <v>453</v>
      </c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</row>
    <row r="207" spans="1:12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</row>
    <row r="208" spans="1:12">
      <c r="A208" s="282" t="s">
        <v>40</v>
      </c>
      <c r="B208" s="283" t="s">
        <v>162</v>
      </c>
      <c r="C208" s="283" t="s">
        <v>163</v>
      </c>
      <c r="D208" s="283"/>
      <c r="E208" s="283"/>
      <c r="F208" s="283"/>
      <c r="G208" s="284"/>
      <c r="H208" s="42"/>
      <c r="I208" s="42"/>
      <c r="J208" s="42"/>
      <c r="K208" s="42"/>
      <c r="L208" s="42"/>
    </row>
    <row r="209" spans="1:12">
      <c r="A209" s="285" t="s">
        <v>454</v>
      </c>
      <c r="B209" s="286"/>
      <c r="C209" s="286"/>
      <c r="D209" s="286"/>
      <c r="E209" s="286"/>
      <c r="F209" s="286"/>
      <c r="G209" s="287"/>
      <c r="H209" s="42"/>
      <c r="I209" s="42"/>
      <c r="J209" s="42"/>
      <c r="K209" s="42"/>
      <c r="L209" s="42"/>
    </row>
    <row r="210" spans="1:12">
      <c r="A210" s="285" t="s">
        <v>455</v>
      </c>
      <c r="B210" s="292">
        <v>71286</v>
      </c>
      <c r="C210" s="292">
        <v>43332</v>
      </c>
      <c r="D210" s="286"/>
      <c r="E210" s="286"/>
      <c r="F210" s="286"/>
      <c r="G210" s="287"/>
      <c r="H210" s="42"/>
      <c r="I210" s="42"/>
      <c r="J210" s="42"/>
      <c r="K210" s="42"/>
      <c r="L210" s="42"/>
    </row>
    <row r="211" spans="1:12">
      <c r="A211" s="285" t="s">
        <v>188</v>
      </c>
      <c r="B211" s="293" t="s">
        <v>35</v>
      </c>
      <c r="C211" s="293" t="s">
        <v>35</v>
      </c>
      <c r="D211" s="286"/>
      <c r="E211" s="286"/>
      <c r="F211" s="286"/>
      <c r="G211" s="287"/>
      <c r="H211" s="42"/>
      <c r="I211" s="42"/>
      <c r="J211" s="42"/>
      <c r="K211" s="42"/>
      <c r="L211" s="42"/>
    </row>
    <row r="212" spans="1:12">
      <c r="A212" s="285" t="s">
        <v>191</v>
      </c>
      <c r="B212" s="292">
        <v>5481</v>
      </c>
      <c r="C212" s="292">
        <v>4473</v>
      </c>
      <c r="D212" s="286"/>
      <c r="E212" s="286"/>
      <c r="F212" s="286"/>
      <c r="G212" s="287"/>
      <c r="H212" s="42"/>
      <c r="I212" s="42"/>
      <c r="J212" s="42"/>
      <c r="K212" s="42"/>
      <c r="L212" s="42"/>
    </row>
    <row r="213" spans="1:12">
      <c r="A213" s="285" t="s">
        <v>456</v>
      </c>
      <c r="B213" s="293" t="s">
        <v>35</v>
      </c>
      <c r="C213" s="293" t="s">
        <v>35</v>
      </c>
      <c r="D213" s="286"/>
      <c r="E213" s="286"/>
      <c r="F213" s="286"/>
      <c r="G213" s="287"/>
      <c r="H213" s="42"/>
      <c r="I213" s="42"/>
      <c r="J213" s="42"/>
      <c r="K213" s="42"/>
      <c r="L213" s="42"/>
    </row>
    <row r="214" spans="1:12">
      <c r="A214" s="288" t="s">
        <v>457</v>
      </c>
      <c r="B214" s="294" t="s">
        <v>35</v>
      </c>
      <c r="C214" s="294" t="s">
        <v>35</v>
      </c>
      <c r="D214" s="289"/>
      <c r="E214" s="289"/>
      <c r="F214" s="289"/>
      <c r="G214" s="290"/>
      <c r="H214" s="42"/>
      <c r="I214" s="42"/>
      <c r="J214" s="42"/>
      <c r="K214" s="42"/>
      <c r="L214" s="42"/>
    </row>
    <row r="215" spans="1:12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</row>
    <row r="216" spans="1:12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</row>
    <row r="217" spans="1:12" ht="15.6">
      <c r="A217" s="281" t="s">
        <v>458</v>
      </c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</row>
    <row r="218" spans="1:12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</row>
    <row r="219" spans="1:12">
      <c r="A219" s="282" t="s">
        <v>40</v>
      </c>
      <c r="B219" s="283" t="s">
        <v>459</v>
      </c>
      <c r="C219" s="283" t="s">
        <v>402</v>
      </c>
      <c r="D219" s="283"/>
      <c r="E219" s="284"/>
      <c r="F219" s="42"/>
      <c r="G219" s="42"/>
      <c r="H219" s="42"/>
      <c r="I219" s="42"/>
      <c r="J219" s="42"/>
      <c r="K219" s="42"/>
      <c r="L219" s="42"/>
    </row>
    <row r="220" spans="1:12">
      <c r="A220" s="285" t="s">
        <v>460</v>
      </c>
      <c r="B220" s="292">
        <v>24045</v>
      </c>
      <c r="C220" s="292">
        <v>23708</v>
      </c>
      <c r="D220" s="286"/>
      <c r="E220" s="287"/>
      <c r="F220" s="42"/>
      <c r="G220" s="42"/>
      <c r="H220" s="42"/>
      <c r="I220" s="42"/>
      <c r="J220" s="42"/>
      <c r="K220" s="42"/>
      <c r="L220" s="42"/>
    </row>
    <row r="221" spans="1:12">
      <c r="A221" s="285" t="s">
        <v>461</v>
      </c>
      <c r="B221" s="292">
        <v>55841</v>
      </c>
      <c r="C221" s="292">
        <v>52987</v>
      </c>
      <c r="D221" s="286"/>
      <c r="E221" s="287"/>
      <c r="F221" s="42"/>
      <c r="G221" s="42"/>
      <c r="H221" s="42"/>
      <c r="I221" s="42"/>
      <c r="J221" s="42"/>
      <c r="K221" s="42"/>
      <c r="L221" s="42"/>
    </row>
    <row r="222" spans="1:12">
      <c r="A222" s="285" t="s">
        <v>462</v>
      </c>
      <c r="B222" s="292">
        <v>9161</v>
      </c>
      <c r="C222" s="292">
        <v>9021</v>
      </c>
      <c r="D222" s="286"/>
      <c r="E222" s="287"/>
      <c r="F222" s="42"/>
      <c r="G222" s="42"/>
      <c r="H222" s="42"/>
      <c r="I222" s="42"/>
      <c r="J222" s="42"/>
      <c r="K222" s="42"/>
      <c r="L222" s="42"/>
    </row>
    <row r="223" spans="1:12">
      <c r="A223" s="285" t="s">
        <v>184</v>
      </c>
      <c r="B223" s="292">
        <v>18517</v>
      </c>
      <c r="C223" s="292">
        <v>21222</v>
      </c>
      <c r="D223" s="286"/>
      <c r="E223" s="287"/>
      <c r="F223" s="42"/>
      <c r="G223" s="42"/>
      <c r="H223" s="42"/>
      <c r="I223" s="42"/>
      <c r="J223" s="42"/>
      <c r="K223" s="42"/>
      <c r="L223" s="42"/>
    </row>
    <row r="224" spans="1:12">
      <c r="A224" s="285" t="s">
        <v>463</v>
      </c>
      <c r="B224" s="286" t="s">
        <v>464</v>
      </c>
      <c r="C224" s="286" t="s">
        <v>465</v>
      </c>
      <c r="D224" s="286"/>
      <c r="E224" s="287"/>
      <c r="F224" s="42"/>
      <c r="G224" s="42"/>
      <c r="H224" s="42"/>
      <c r="I224" s="42"/>
      <c r="J224" s="42"/>
      <c r="K224" s="42"/>
      <c r="L224" s="42"/>
    </row>
    <row r="225" spans="1:12">
      <c r="A225" s="288"/>
      <c r="B225" s="289"/>
      <c r="C225" s="289"/>
      <c r="D225" s="289"/>
      <c r="E225" s="290"/>
      <c r="F225" s="42"/>
      <c r="G225" s="42"/>
      <c r="H225" s="42"/>
      <c r="I225" s="42"/>
      <c r="J225" s="42"/>
      <c r="K225" s="42"/>
      <c r="L225" s="42"/>
    </row>
    <row r="226" spans="1:12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</row>
    <row r="227" spans="1:12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</row>
    <row r="228" spans="1:12" ht="15.6">
      <c r="A228" s="281" t="s">
        <v>466</v>
      </c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</row>
    <row r="229" spans="1:12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</row>
    <row r="230" spans="1:12">
      <c r="A230" s="282" t="s">
        <v>40</v>
      </c>
      <c r="B230" s="283" t="s">
        <v>162</v>
      </c>
      <c r="C230" s="283" t="s">
        <v>163</v>
      </c>
      <c r="D230" s="284"/>
      <c r="E230" s="42"/>
      <c r="F230" s="42"/>
      <c r="G230" s="42"/>
      <c r="H230" s="42"/>
      <c r="I230" s="42"/>
      <c r="J230" s="42"/>
      <c r="K230" s="42"/>
      <c r="L230" s="42"/>
    </row>
    <row r="231" spans="1:12">
      <c r="A231" s="285" t="s">
        <v>467</v>
      </c>
      <c r="B231" s="286" t="s">
        <v>468</v>
      </c>
      <c r="C231" s="286" t="s">
        <v>469</v>
      </c>
      <c r="D231" s="287"/>
      <c r="E231" s="42"/>
      <c r="F231" s="42"/>
      <c r="G231" s="42"/>
      <c r="H231" s="42"/>
      <c r="I231" s="42"/>
      <c r="J231" s="42"/>
      <c r="K231" s="42"/>
      <c r="L231" s="42"/>
    </row>
    <row r="232" spans="1:12">
      <c r="A232" s="285" t="s">
        <v>470</v>
      </c>
      <c r="B232" s="292">
        <v>62865</v>
      </c>
      <c r="C232" s="292">
        <v>72997</v>
      </c>
      <c r="D232" s="287"/>
      <c r="E232" s="42"/>
      <c r="F232" s="42"/>
      <c r="G232" s="42"/>
      <c r="H232" s="42"/>
      <c r="I232" s="42"/>
      <c r="J232" s="42"/>
      <c r="K232" s="42"/>
      <c r="L232" s="42"/>
    </row>
    <row r="233" spans="1:12">
      <c r="A233" s="285" t="s">
        <v>184</v>
      </c>
      <c r="B233" s="292">
        <v>26336</v>
      </c>
      <c r="C233" s="292">
        <v>3486</v>
      </c>
      <c r="D233" s="287"/>
      <c r="E233" s="42"/>
      <c r="F233" s="42"/>
      <c r="G233" s="42"/>
      <c r="H233" s="42"/>
      <c r="I233" s="42"/>
      <c r="J233" s="42"/>
      <c r="K233" s="42"/>
      <c r="L233" s="42"/>
    </row>
    <row r="234" spans="1:12">
      <c r="A234" s="288" t="s">
        <v>471</v>
      </c>
      <c r="B234" s="295">
        <v>46236</v>
      </c>
      <c r="C234" s="295">
        <v>35986</v>
      </c>
      <c r="D234" s="290"/>
      <c r="E234" s="42"/>
      <c r="F234" s="42"/>
      <c r="G234" s="42"/>
      <c r="H234" s="42"/>
      <c r="I234" s="42"/>
      <c r="J234" s="42"/>
      <c r="K234" s="42"/>
      <c r="L234" s="42"/>
    </row>
    <row r="235" spans="1:12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</row>
    <row r="236" spans="1:12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</row>
    <row r="237" spans="1:12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</row>
    <row r="238" spans="1:12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</row>
    <row r="239" spans="1:12" ht="23.4">
      <c r="A239" s="251" t="s">
        <v>472</v>
      </c>
      <c r="B239" s="157"/>
      <c r="C239" s="252"/>
      <c r="D239" s="42"/>
      <c r="E239" s="42"/>
      <c r="F239" s="42"/>
      <c r="G239" s="42"/>
      <c r="H239" s="42"/>
      <c r="I239" s="42"/>
      <c r="J239" s="42"/>
      <c r="K239" s="42"/>
      <c r="L239" s="42"/>
    </row>
    <row r="240" spans="1:12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</row>
    <row r="241" spans="1:12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</row>
    <row r="242" spans="1:12" ht="62.4">
      <c r="A242" s="169" t="s">
        <v>473</v>
      </c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</row>
    <row r="243" spans="1:12" ht="15" thickBo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</row>
    <row r="244" spans="1:12" ht="81" thickTop="1" thickBot="1">
      <c r="A244" s="166" t="s">
        <v>474</v>
      </c>
      <c r="B244" s="167" t="s">
        <v>475</v>
      </c>
      <c r="C244" s="167" t="s">
        <v>476</v>
      </c>
      <c r="D244" s="168" t="s">
        <v>477</v>
      </c>
      <c r="E244" s="296" t="s">
        <v>478</v>
      </c>
      <c r="F244" s="42"/>
      <c r="G244" s="42"/>
      <c r="H244" s="42"/>
      <c r="I244" s="42"/>
      <c r="J244" s="42"/>
      <c r="K244" s="42"/>
      <c r="L244" s="42"/>
    </row>
    <row r="245" spans="1:12" ht="94.2" thickTop="1" thickBot="1">
      <c r="A245" s="158" t="s">
        <v>479</v>
      </c>
      <c r="B245" s="159" t="s">
        <v>480</v>
      </c>
      <c r="C245" s="160">
        <v>1</v>
      </c>
      <c r="D245" s="162">
        <v>0</v>
      </c>
      <c r="E245" s="297" t="s">
        <v>481</v>
      </c>
      <c r="F245" s="42"/>
      <c r="G245" s="42"/>
      <c r="H245" s="42"/>
      <c r="I245" s="42"/>
      <c r="J245" s="42"/>
      <c r="K245" s="42"/>
      <c r="L245" s="42"/>
    </row>
    <row r="246" spans="1:12" ht="80.400000000000006" thickBot="1">
      <c r="A246" s="158" t="s">
        <v>482</v>
      </c>
      <c r="B246" s="159" t="s">
        <v>480</v>
      </c>
      <c r="C246" s="160">
        <v>0.74</v>
      </c>
      <c r="D246" s="162">
        <v>0.26</v>
      </c>
      <c r="E246" s="297" t="s">
        <v>483</v>
      </c>
      <c r="F246" s="42"/>
      <c r="G246" s="42"/>
      <c r="H246" s="42"/>
      <c r="I246" s="42"/>
      <c r="J246" s="42"/>
      <c r="K246" s="42"/>
      <c r="L246" s="42"/>
    </row>
    <row r="247" spans="1:12" ht="80.400000000000006" thickBot="1">
      <c r="A247" s="158" t="s">
        <v>484</v>
      </c>
      <c r="B247" s="159" t="s">
        <v>480</v>
      </c>
      <c r="C247" s="160">
        <v>0.5</v>
      </c>
      <c r="D247" s="162">
        <v>0.5</v>
      </c>
      <c r="E247" s="297" t="s">
        <v>485</v>
      </c>
      <c r="F247" s="42"/>
      <c r="G247" s="42"/>
      <c r="H247" s="42"/>
      <c r="I247" s="42"/>
      <c r="J247" s="42"/>
      <c r="K247" s="42"/>
      <c r="L247" s="42"/>
    </row>
    <row r="248" spans="1:12" ht="54" thickBot="1">
      <c r="A248" s="158" t="s">
        <v>486</v>
      </c>
      <c r="B248" s="159" t="s">
        <v>480</v>
      </c>
      <c r="C248" s="160">
        <v>0.26</v>
      </c>
      <c r="D248" s="161" t="s">
        <v>487</v>
      </c>
      <c r="E248" s="297" t="s">
        <v>488</v>
      </c>
      <c r="F248" s="42"/>
      <c r="G248" s="42"/>
      <c r="H248" s="42"/>
      <c r="I248" s="42"/>
      <c r="J248" s="42"/>
      <c r="K248" s="42"/>
      <c r="L248" s="42"/>
    </row>
    <row r="249" spans="1:12" ht="15" thickBot="1">
      <c r="A249" s="163" t="s">
        <v>392</v>
      </c>
      <c r="B249" s="164" t="s">
        <v>392</v>
      </c>
      <c r="C249" s="164" t="s">
        <v>392</v>
      </c>
      <c r="D249" s="165" t="s">
        <v>392</v>
      </c>
      <c r="E249" s="163" t="s">
        <v>392</v>
      </c>
      <c r="F249" s="42"/>
      <c r="G249" s="42"/>
      <c r="H249" s="42"/>
      <c r="I249" s="42"/>
      <c r="J249" s="42"/>
      <c r="K249" s="42"/>
      <c r="L249" s="42"/>
    </row>
    <row r="250" spans="1:12" ht="15" thickTop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</row>
    <row r="251" spans="1:12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</row>
    <row r="252" spans="1:1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</row>
    <row r="253" spans="1:12" ht="358.8">
      <c r="A253" s="178" t="s">
        <v>489</v>
      </c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</row>
    <row r="254" spans="1:12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</row>
    <row r="255" spans="1:12" ht="15" thickBo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</row>
    <row r="256" spans="1:12" ht="28.2" thickTop="1" thickBot="1">
      <c r="A256" s="166" t="s">
        <v>40</v>
      </c>
      <c r="B256" s="167" t="s">
        <v>490</v>
      </c>
      <c r="C256" s="167" t="s">
        <v>491</v>
      </c>
      <c r="D256" s="167" t="s">
        <v>492</v>
      </c>
      <c r="E256" s="167" t="s">
        <v>493</v>
      </c>
      <c r="F256" s="167" t="s">
        <v>494</v>
      </c>
      <c r="G256" s="42"/>
      <c r="H256" s="42"/>
      <c r="I256" s="42"/>
      <c r="J256" s="42"/>
      <c r="K256" s="42"/>
      <c r="L256" s="42"/>
    </row>
    <row r="257" spans="1:12" ht="28.2" thickTop="1" thickBot="1">
      <c r="A257" s="158" t="s">
        <v>495</v>
      </c>
      <c r="B257" s="170">
        <v>904</v>
      </c>
      <c r="C257" s="171">
        <v>4359</v>
      </c>
      <c r="D257" s="172" t="s">
        <v>35</v>
      </c>
      <c r="E257" s="172" t="s">
        <v>35</v>
      </c>
      <c r="F257" s="159">
        <v>5263</v>
      </c>
      <c r="G257" s="42"/>
      <c r="H257" s="42"/>
      <c r="I257" s="42"/>
      <c r="J257" s="42"/>
      <c r="K257" s="42"/>
      <c r="L257" s="42"/>
    </row>
    <row r="258" spans="1:12" ht="27.6" thickBot="1">
      <c r="A258" s="158" t="s">
        <v>496</v>
      </c>
      <c r="B258" s="172" t="s">
        <v>35</v>
      </c>
      <c r="C258" s="170">
        <v>723</v>
      </c>
      <c r="D258" s="171">
        <v>2240</v>
      </c>
      <c r="E258" s="172" t="s">
        <v>35</v>
      </c>
      <c r="F258" s="173">
        <v>2963</v>
      </c>
      <c r="G258" s="42"/>
      <c r="H258" s="42"/>
      <c r="I258" s="42"/>
      <c r="J258" s="42"/>
      <c r="K258" s="42"/>
      <c r="L258" s="42"/>
    </row>
    <row r="259" spans="1:12" ht="27.6" thickBot="1">
      <c r="A259" s="158" t="s">
        <v>497</v>
      </c>
      <c r="B259" s="170">
        <v>118</v>
      </c>
      <c r="C259" s="170">
        <v>587</v>
      </c>
      <c r="D259" s="172" t="s">
        <v>35</v>
      </c>
      <c r="E259" s="172" t="s">
        <v>35</v>
      </c>
      <c r="F259" s="159">
        <v>705</v>
      </c>
      <c r="G259" s="42"/>
      <c r="H259" s="42"/>
      <c r="I259" s="42"/>
      <c r="J259" s="42"/>
      <c r="K259" s="42"/>
      <c r="L259" s="42"/>
    </row>
    <row r="260" spans="1:12" ht="27.6" thickBot="1">
      <c r="A260" s="158" t="s">
        <v>498</v>
      </c>
      <c r="B260" s="170">
        <v>1</v>
      </c>
      <c r="C260" s="170">
        <v>34</v>
      </c>
      <c r="D260" s="172" t="s">
        <v>35</v>
      </c>
      <c r="E260" s="172" t="s">
        <v>35</v>
      </c>
      <c r="F260" s="159">
        <v>35</v>
      </c>
      <c r="G260" s="42"/>
      <c r="H260" s="42"/>
      <c r="I260" s="42"/>
      <c r="J260" s="42"/>
      <c r="K260" s="42"/>
      <c r="L260" s="42"/>
    </row>
    <row r="261" spans="1:12" ht="27.6" thickBot="1">
      <c r="A261" s="158" t="s">
        <v>499</v>
      </c>
      <c r="B261" s="172" t="s">
        <v>35</v>
      </c>
      <c r="C261" s="170">
        <v>48</v>
      </c>
      <c r="D261" s="172" t="s">
        <v>35</v>
      </c>
      <c r="E261" s="172" t="s">
        <v>35</v>
      </c>
      <c r="F261" s="159">
        <v>48</v>
      </c>
      <c r="G261" s="42"/>
      <c r="H261" s="42"/>
      <c r="I261" s="42"/>
      <c r="J261" s="42"/>
      <c r="K261" s="42"/>
      <c r="L261" s="42"/>
    </row>
    <row r="262" spans="1:12" ht="27.6" thickBot="1">
      <c r="A262" s="158" t="s">
        <v>500</v>
      </c>
      <c r="B262" s="170" t="s">
        <v>392</v>
      </c>
      <c r="C262" s="172" t="s">
        <v>35</v>
      </c>
      <c r="D262" s="172" t="s">
        <v>35</v>
      </c>
      <c r="E262" s="172" t="s">
        <v>35</v>
      </c>
      <c r="F262" s="174" t="s">
        <v>35</v>
      </c>
      <c r="G262" s="42"/>
      <c r="H262" s="42"/>
      <c r="I262" s="42"/>
      <c r="J262" s="42"/>
      <c r="K262" s="42"/>
      <c r="L262" s="42"/>
    </row>
    <row r="263" spans="1:12" ht="27.6" thickBot="1">
      <c r="A263" s="158" t="s">
        <v>501</v>
      </c>
      <c r="B263" s="170">
        <v>206</v>
      </c>
      <c r="C263" s="170">
        <v>116</v>
      </c>
      <c r="D263" s="171">
        <v>7800</v>
      </c>
      <c r="E263" s="172" t="s">
        <v>35</v>
      </c>
      <c r="F263" s="173">
        <v>8122</v>
      </c>
      <c r="G263" s="42"/>
      <c r="H263" s="42"/>
      <c r="I263" s="42"/>
      <c r="J263" s="42"/>
      <c r="K263" s="42"/>
      <c r="L263" s="42"/>
    </row>
    <row r="264" spans="1:12" ht="40.799999999999997" thickBot="1">
      <c r="A264" s="158" t="s">
        <v>502</v>
      </c>
      <c r="B264" s="172" t="s">
        <v>35</v>
      </c>
      <c r="C264" s="172" t="s">
        <v>35</v>
      </c>
      <c r="D264" s="172" t="s">
        <v>35</v>
      </c>
      <c r="E264" s="172" t="s">
        <v>35</v>
      </c>
      <c r="F264" s="174" t="s">
        <v>35</v>
      </c>
      <c r="G264" s="42"/>
      <c r="H264" s="42"/>
      <c r="I264" s="42"/>
      <c r="J264" s="42"/>
      <c r="K264" s="42"/>
      <c r="L264" s="42"/>
    </row>
    <row r="265" spans="1:12" ht="67.2" thickBot="1">
      <c r="A265" s="158" t="s">
        <v>503</v>
      </c>
      <c r="B265" s="170">
        <v>69</v>
      </c>
      <c r="C265" s="170">
        <v>647</v>
      </c>
      <c r="D265" s="172" t="s">
        <v>35</v>
      </c>
      <c r="E265" s="172" t="s">
        <v>35</v>
      </c>
      <c r="F265" s="159">
        <v>716</v>
      </c>
      <c r="G265" s="42"/>
      <c r="H265" s="42"/>
      <c r="I265" s="42"/>
      <c r="J265" s="42"/>
      <c r="K265" s="42"/>
      <c r="L265" s="42"/>
    </row>
    <row r="266" spans="1:12" ht="80.400000000000006" thickBot="1">
      <c r="A266" s="158" t="s">
        <v>504</v>
      </c>
      <c r="B266" s="170">
        <v>1</v>
      </c>
      <c r="C266" s="170">
        <v>1</v>
      </c>
      <c r="D266" s="170">
        <v>515</v>
      </c>
      <c r="E266" s="172" t="s">
        <v>35</v>
      </c>
      <c r="F266" s="159">
        <v>517</v>
      </c>
      <c r="G266" s="42"/>
      <c r="H266" s="42"/>
      <c r="I266" s="42"/>
      <c r="J266" s="42"/>
      <c r="K266" s="42"/>
      <c r="L266" s="42"/>
    </row>
    <row r="267" spans="1:12" ht="67.2" thickBot="1">
      <c r="A267" s="158" t="s">
        <v>505</v>
      </c>
      <c r="B267" s="171">
        <v>16990</v>
      </c>
      <c r="C267" s="171">
        <v>4264</v>
      </c>
      <c r="D267" s="170">
        <v>260</v>
      </c>
      <c r="E267" s="170">
        <v>1</v>
      </c>
      <c r="F267" s="173">
        <v>21515</v>
      </c>
      <c r="G267" s="42"/>
      <c r="H267" s="42"/>
      <c r="I267" s="42"/>
      <c r="J267" s="42"/>
      <c r="K267" s="42"/>
      <c r="L267" s="42"/>
    </row>
    <row r="268" spans="1:12" ht="54" thickBot="1">
      <c r="A268" s="158" t="s">
        <v>506</v>
      </c>
      <c r="B268" s="171">
        <v>2199</v>
      </c>
      <c r="C268" s="172" t="s">
        <v>35</v>
      </c>
      <c r="D268" s="172" t="s">
        <v>35</v>
      </c>
      <c r="E268" s="172" t="s">
        <v>35</v>
      </c>
      <c r="F268" s="173">
        <v>2199</v>
      </c>
      <c r="G268" s="42"/>
      <c r="H268" s="42"/>
      <c r="I268" s="42"/>
      <c r="J268" s="42"/>
      <c r="K268" s="42"/>
      <c r="L268" s="42"/>
    </row>
    <row r="269" spans="1:12" ht="67.2" thickBot="1">
      <c r="A269" s="163" t="s">
        <v>507</v>
      </c>
      <c r="B269" s="175" t="s">
        <v>35</v>
      </c>
      <c r="C269" s="175" t="s">
        <v>35</v>
      </c>
      <c r="D269" s="175" t="s">
        <v>35</v>
      </c>
      <c r="E269" s="176">
        <v>4000</v>
      </c>
      <c r="F269" s="177">
        <v>4000</v>
      </c>
      <c r="G269" s="42"/>
      <c r="H269" s="42"/>
      <c r="I269" s="42"/>
      <c r="J269" s="42"/>
      <c r="K269" s="42"/>
      <c r="L269" s="42"/>
    </row>
    <row r="270" spans="1:12" ht="15" thickTop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</row>
    <row r="271" spans="1:12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</row>
    <row r="272" spans="1:1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</row>
    <row r="273" spans="1:12" ht="15.6">
      <c r="A273" s="298" t="s">
        <v>508</v>
      </c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</row>
    <row r="274" spans="1:12" ht="15" thickBo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</row>
    <row r="275" spans="1:12" ht="15.6" thickTop="1" thickBot="1">
      <c r="A275" s="299" t="s">
        <v>509</v>
      </c>
      <c r="B275" s="300" t="s">
        <v>510</v>
      </c>
      <c r="C275" s="301" t="s">
        <v>511</v>
      </c>
      <c r="D275" s="42"/>
      <c r="E275" s="42"/>
      <c r="F275" s="42"/>
      <c r="G275" s="42"/>
      <c r="H275" s="42"/>
      <c r="I275" s="42"/>
      <c r="J275" s="42"/>
      <c r="K275" s="42"/>
      <c r="L275" s="42"/>
    </row>
    <row r="276" spans="1:12" ht="15" thickTop="1">
      <c r="A276" s="302" t="s">
        <v>512</v>
      </c>
      <c r="B276" s="303">
        <v>11598</v>
      </c>
      <c r="C276" s="304">
        <v>10922</v>
      </c>
      <c r="D276" s="42"/>
      <c r="E276" s="42"/>
      <c r="F276" s="42"/>
      <c r="G276" s="42"/>
      <c r="H276" s="42"/>
      <c r="I276" s="42"/>
      <c r="J276" s="42"/>
      <c r="K276" s="42"/>
      <c r="L276" s="42"/>
    </row>
    <row r="277" spans="1:12">
      <c r="A277" s="302" t="s">
        <v>513</v>
      </c>
      <c r="B277" s="305" t="s">
        <v>35</v>
      </c>
      <c r="C277" s="306" t="s">
        <v>35</v>
      </c>
      <c r="D277" s="42"/>
      <c r="E277" s="42"/>
      <c r="F277" s="42"/>
      <c r="G277" s="42"/>
      <c r="H277" s="42"/>
      <c r="I277" s="42"/>
      <c r="J277" s="42"/>
      <c r="K277" s="42"/>
      <c r="L277" s="42"/>
    </row>
    <row r="278" spans="1:12">
      <c r="A278" s="302" t="s">
        <v>514</v>
      </c>
      <c r="B278" s="303">
        <v>6040</v>
      </c>
      <c r="C278" s="304">
        <v>6063</v>
      </c>
      <c r="D278" s="42"/>
      <c r="E278" s="42"/>
      <c r="F278" s="42"/>
      <c r="G278" s="42"/>
      <c r="H278" s="42"/>
      <c r="I278" s="42"/>
      <c r="J278" s="42"/>
      <c r="K278" s="42"/>
      <c r="L278" s="42"/>
    </row>
    <row r="279" spans="1:12" ht="15" thickBot="1">
      <c r="A279" s="307" t="s">
        <v>515</v>
      </c>
      <c r="B279" s="308">
        <v>116493</v>
      </c>
      <c r="C279" s="309" t="s">
        <v>35</v>
      </c>
      <c r="D279" s="42"/>
      <c r="E279" s="42"/>
      <c r="F279" s="42"/>
      <c r="G279" s="42"/>
      <c r="H279" s="42"/>
      <c r="I279" s="42"/>
      <c r="J279" s="42"/>
      <c r="K279" s="42"/>
      <c r="L279" s="42"/>
    </row>
  </sheetData>
  <mergeCells count="8">
    <mergeCell ref="A2:C2"/>
    <mergeCell ref="A121:C121"/>
    <mergeCell ref="A122:C122"/>
    <mergeCell ref="A64:A66"/>
    <mergeCell ref="A78:C78"/>
    <mergeCell ref="A94:C94"/>
    <mergeCell ref="A107:C107"/>
    <mergeCell ref="A108:C1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Income Statement </vt:lpstr>
      <vt:lpstr>Balance sheet </vt:lpstr>
      <vt:lpstr>Cash flow statement </vt:lpstr>
      <vt:lpstr>Notes-BS</vt:lpstr>
      <vt:lpstr>Notes-IS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Namratha Rao</dc:creator>
  <cp:lastModifiedBy>Deeba</cp:lastModifiedBy>
  <dcterms:created xsi:type="dcterms:W3CDTF">2015-06-05T18:17:20Z</dcterms:created>
  <dcterms:modified xsi:type="dcterms:W3CDTF">2024-02-28T17:03:01Z</dcterms:modified>
</cp:coreProperties>
</file>